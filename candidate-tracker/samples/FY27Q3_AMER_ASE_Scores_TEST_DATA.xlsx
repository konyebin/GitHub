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3260" windowHeight="13900" tabRatio="600" firstSheet="0" activeTab="0" autoFilterDateGrouping="1"/>
  </bookViews>
  <sheets>
    <sheet name="TEMPLATE" sheetId="1" state="visible" r:id="rId1"/>
  </sheets>
  <definedNames>
    <definedName name="_xlnm._FilterDatabase" localSheetId="0" hidden="1">'TEMPLATE'!$A$9:$AC$9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0"/>
      <scheme val="minor"/>
    </font>
    <font>
      <name val="Arial Narrow"/>
      <family val="2"/>
      <b val="1"/>
      <sz val="11"/>
    </font>
    <font>
      <name val="Arial Narrow"/>
      <family val="2"/>
      <sz val="11"/>
    </font>
    <font>
      <name val="Calibri"/>
      <family val="2"/>
      <b val="1"/>
      <color theme="1"/>
      <sz val="10"/>
      <scheme val="minor"/>
    </font>
    <font>
      <name val="Calibri"/>
      <family val="2"/>
      <color indexed="8"/>
      <sz val="10"/>
    </font>
  </fonts>
  <fills count="8">
    <fill>
      <patternFill/>
    </fill>
    <fill>
      <patternFill patternType="gray125"/>
    </fill>
    <fill>
      <patternFill patternType="solid">
        <fgColor theme="6" tint="0.3999755851924192"/>
        <bgColor rgb="FF000000"/>
      </patternFill>
    </fill>
    <fill>
      <patternFill patternType="solid">
        <fgColor theme="4" tint="0.7999816888943144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3" tint="0.5999938962981048"/>
        <bgColor rgb="FF000000"/>
      </patternFill>
    </fill>
    <fill>
      <patternFill patternType="solid">
        <fgColor rgb="FFDA9694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4" fillId="0" borderId="0"/>
  </cellStyleXfs>
  <cellXfs count="49">
    <xf numFmtId="0" fontId="0" fillId="0" borderId="0" pivotButton="0" quotePrefix="0" xfId="0"/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164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9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0" fontId="1" fillId="0" borderId="0" applyAlignment="1" pivotButton="0" quotePrefix="0" xfId="0">
      <alignment horizontal="left" vertical="center"/>
    </xf>
    <xf numFmtId="0" fontId="2" fillId="3" borderId="5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2" fillId="4" borderId="5" applyAlignment="1" pivotButton="0" quotePrefix="0" xfId="0">
      <alignment vertical="center"/>
    </xf>
    <xf numFmtId="0" fontId="2" fillId="4" borderId="6" applyAlignment="1" pivotButton="0" quotePrefix="0" xfId="0">
      <alignment vertical="center"/>
    </xf>
    <xf numFmtId="9" fontId="3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0" borderId="1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2" fontId="1" fillId="0" borderId="0" applyAlignment="1" pivotButton="0" quotePrefix="0" xfId="1">
      <alignment horizontal="center" vertical="center"/>
    </xf>
    <xf numFmtId="164" fontId="1" fillId="0" borderId="12" applyAlignment="1" pivotButton="0" quotePrefix="0" xfId="0">
      <alignment vertical="center" textRotation="90"/>
    </xf>
    <xf numFmtId="164" fontId="1" fillId="0" borderId="12" applyAlignment="1" pivotButton="0" quotePrefix="0" xfId="0">
      <alignment horizontal="center" vertical="center" textRotation="90"/>
    </xf>
    <xf numFmtId="0" fontId="1" fillId="0" borderId="12" applyAlignment="1" pivotButton="0" quotePrefix="0" xfId="0">
      <alignment vertical="center"/>
    </xf>
    <xf numFmtId="164" fontId="1" fillId="2" borderId="12" applyAlignment="1" pivotButton="0" quotePrefix="0" xfId="0">
      <alignment horizontal="center" vertical="center" textRotation="90" wrapText="1"/>
    </xf>
    <xf numFmtId="0" fontId="1" fillId="5" borderId="12" applyAlignment="1" pivotButton="0" quotePrefix="0" xfId="0">
      <alignment horizontal="center" vertical="center" textRotation="90" wrapText="1"/>
    </xf>
    <xf numFmtId="164" fontId="1" fillId="3" borderId="12" applyAlignment="1" pivotButton="0" quotePrefix="0" xfId="0">
      <alignment horizontal="center" vertical="center" textRotation="90" wrapText="1"/>
    </xf>
    <xf numFmtId="164" fontId="1" fillId="6" borderId="12" applyAlignment="1" pivotButton="0" quotePrefix="0" xfId="0">
      <alignment horizontal="center" vertical="center" textRotation="90" wrapText="1"/>
    </xf>
    <xf numFmtId="164" fontId="1" fillId="4" borderId="12" applyAlignment="1" pivotButton="0" quotePrefix="0" xfId="0">
      <alignment horizontal="center" vertical="center" textRotation="90" wrapText="1"/>
    </xf>
    <xf numFmtId="164" fontId="1" fillId="7" borderId="12" applyAlignment="1" pivotButton="0" quotePrefix="0" xfId="0">
      <alignment horizontal="center" vertical="center" textRotation="90" wrapText="1"/>
    </xf>
    <xf numFmtId="164" fontId="1" fillId="0" borderId="12" applyAlignment="1" pivotButton="0" quotePrefix="0" xfId="0">
      <alignment horizontal="center" vertical="center" textRotation="90" wrapText="1"/>
    </xf>
    <xf numFmtId="10" fontId="1" fillId="0" borderId="12" applyAlignment="1" pivotButton="0" quotePrefix="0" xfId="0">
      <alignment horizontal="center" vertical="center"/>
    </xf>
    <xf numFmtId="10" fontId="1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vertical="center" wrapText="1"/>
    </xf>
    <xf numFmtId="0" fontId="2" fillId="0" borderId="13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9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AC30"/>
  <sheetViews>
    <sheetView tabSelected="1" zoomScale="110" zoomScaleNormal="11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M4" sqref="M4"/>
    </sheetView>
  </sheetViews>
  <sheetFormatPr baseColWidth="10" defaultColWidth="9" defaultRowHeight="14"/>
  <cols>
    <col width="8.3984375" customWidth="1" style="6" min="1" max="1"/>
    <col width="5" customWidth="1" style="6" min="2" max="2"/>
    <col width="24.796875" customWidth="1" style="6" min="3" max="3"/>
    <col outlineLevel="1" width="8.796875" customWidth="1" style="6" min="4" max="7"/>
    <col width="10.796875" customWidth="1" style="6" min="8" max="10"/>
    <col outlineLevel="1" width="8.796875" customWidth="1" style="6" min="11" max="14"/>
    <col width="10.796875" customWidth="1" style="6" min="15" max="17"/>
    <col outlineLevel="1" width="8.796875" customWidth="1" style="6" min="18" max="20"/>
    <col outlineLevel="1" width="11.59765625" customWidth="1" style="6" min="21" max="21"/>
    <col width="10.796875" customWidth="1" style="6" min="22" max="24"/>
    <col width="8.796875" customWidth="1" style="6" min="25" max="26"/>
    <col width="10.796875" customWidth="1" style="6" min="27" max="27"/>
    <col hidden="1" width="35.19921875" customWidth="1" style="6" min="28" max="28"/>
    <col width="31.59765625" customWidth="1" style="6" min="29" max="29"/>
    <col width="9" customWidth="1" style="6" min="30" max="16384"/>
  </cols>
  <sheetData>
    <row r="1" ht="14.5" customHeight="1">
      <c r="A1" s="46" t="inlineStr">
        <is>
          <t>Notes:</t>
        </is>
      </c>
      <c r="B1" s="1" t="inlineStr">
        <is>
          <t>Interview; max points is 16. Assessors will score candidates based on the competencies.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3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1" t="n">
        <v>48</v>
      </c>
      <c r="Z1" s="5" t="n">
        <v>1</v>
      </c>
      <c r="AA1" s="13" t="inlineStr">
        <is>
          <t>Hire</t>
        </is>
      </c>
      <c r="AB1" s="7" t="inlineStr">
        <is>
          <t>Hire</t>
        </is>
      </c>
    </row>
    <row r="2" ht="14.5" customHeight="1">
      <c r="A2" s="47" t="n"/>
      <c r="B2" s="8" t="inlineStr">
        <is>
          <t>Role Play; max points is 16. Assessors will score candidates based on the competencies.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9" t="n"/>
      <c r="L2" s="3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10">
        <f>Y1*Z2</f>
        <v/>
      </c>
      <c r="Z2" s="5" t="n">
        <v>0.85</v>
      </c>
      <c r="AA2" s="13" t="inlineStr">
        <is>
          <t>Hire/Standby</t>
        </is>
      </c>
      <c r="AB2" s="7" t="inlineStr">
        <is>
          <t>passing</t>
        </is>
      </c>
    </row>
    <row r="3" ht="14.5" customHeight="1">
      <c r="A3" s="47" t="n"/>
      <c r="B3" s="11" t="inlineStr">
        <is>
          <t>Presentation; max points is 16. Assessors will score candidates based on the competencies.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2" t="n"/>
      <c r="L3" s="3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10">
        <f>Y1*Z3</f>
        <v/>
      </c>
      <c r="Z3" s="5" t="n">
        <v>0.7</v>
      </c>
      <c r="AA3" s="13" t="inlineStr">
        <is>
          <t>Standby</t>
        </is>
      </c>
    </row>
    <row r="4" ht="14.5" customHeight="1">
      <c r="A4" s="47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5" t="n"/>
      <c r="L4" s="3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10">
        <f>Y1*Z4</f>
        <v/>
      </c>
      <c r="Z4" s="5" t="n">
        <v>0.65</v>
      </c>
      <c r="AA4" s="13" t="inlineStr">
        <is>
          <t>No Hire</t>
        </is>
      </c>
    </row>
    <row r="5" ht="14.5" customHeight="1">
      <c r="A5" s="47" t="n"/>
      <c r="B5" s="16" t="inlineStr">
        <is>
          <t>Total Score = sum of Interview + Role Play + Presentation (max total score is 48)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3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0">
        <f>Y1*Z5</f>
        <v/>
      </c>
      <c r="Z5" s="5" t="n">
        <v>0.5</v>
      </c>
      <c r="AA5" s="13" t="inlineStr">
        <is>
          <t>No Hire</t>
        </is>
      </c>
    </row>
    <row r="6" ht="14.5" customHeight="1">
      <c r="A6" s="48" t="n"/>
      <c r="B6" s="20" t="inlineStr">
        <is>
          <t>Overall % = sum of Total Score divided by 48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2" t="n"/>
      <c r="L6" s="3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AA6" s="7" t="n"/>
      <c r="AB6" s="7" t="n"/>
    </row>
    <row r="7">
      <c r="A7" s="4" t="inlineStr">
        <is>
          <t>MS Form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3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7" t="n"/>
      <c r="AA7" s="23" t="n"/>
      <c r="AB7" s="7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3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7" t="n"/>
      <c r="AA8" s="7" t="n"/>
      <c r="AB8" s="7" t="n"/>
    </row>
    <row r="9" ht="92" customHeight="1">
      <c r="A9" s="24" t="inlineStr">
        <is>
          <t>Country</t>
        </is>
      </c>
      <c r="B9" s="25" t="inlineStr">
        <is>
          <t xml:space="preserve">Salutation </t>
        </is>
      </c>
      <c r="C9" s="26" t="inlineStr">
        <is>
          <t>Candidate Name</t>
        </is>
      </c>
      <c r="D9" s="27" t="inlineStr">
        <is>
          <t>1. Growth Mindset, Resilience &amp; Learning Agility</t>
        </is>
      </c>
      <c r="E9" s="27" t="inlineStr">
        <is>
          <t>2. Executive Presence &amp; Communication</t>
        </is>
      </c>
      <c r="F9" s="27" t="inlineStr">
        <is>
          <t>3. Collaboration &amp; Teamwork</t>
        </is>
      </c>
      <c r="G9" s="27" t="inlineStr">
        <is>
          <t>4. Business Acumen &amp; Technical Insights</t>
        </is>
      </c>
      <c r="H9" s="28" t="inlineStr">
        <is>
          <t>TOTAL - Interview</t>
        </is>
      </c>
      <c r="I9" s="28" t="inlineStr">
        <is>
          <t>Recommendation</t>
        </is>
      </c>
      <c r="J9" s="28" t="inlineStr">
        <is>
          <t>Comments/Notes</t>
        </is>
      </c>
      <c r="K9" s="29" t="inlineStr">
        <is>
          <t>1. Builds Trust / Trusted Advisor</t>
        </is>
      </c>
      <c r="L9" s="29" t="inlineStr">
        <is>
          <t>2. Executive Presence &amp; Communication</t>
        </is>
      </c>
      <c r="M9" s="29" t="inlineStr">
        <is>
          <t>3. Coachability</t>
        </is>
      </c>
      <c r="N9" s="29" t="inlineStr">
        <is>
          <t>4. Explains Concepts Simply</t>
        </is>
      </c>
      <c r="O9" s="30" t="inlineStr">
        <is>
          <t>TOTAL -  Role Play (weighted to 16)</t>
        </is>
      </c>
      <c r="P9" s="30" t="inlineStr">
        <is>
          <t>Recommendation</t>
        </is>
      </c>
      <c r="Q9" s="30" t="inlineStr">
        <is>
          <t>Comments/Notes</t>
        </is>
      </c>
      <c r="R9" s="31" t="inlineStr">
        <is>
          <t>1. AI Fluency &amp; Orchestration</t>
        </is>
      </c>
      <c r="S9" s="31" t="inlineStr">
        <is>
          <t>2. Executive Presence &amp; Communication</t>
        </is>
      </c>
      <c r="T9" s="31" t="inlineStr">
        <is>
          <t>3. Coachability</t>
        </is>
      </c>
      <c r="U9" s="31" t="inlineStr">
        <is>
          <t>4. Goes Deep (Technical Acumen)</t>
        </is>
      </c>
      <c r="V9" s="32" t="inlineStr">
        <is>
          <t>TOTAL - Presentation</t>
        </is>
      </c>
      <c r="W9" s="32" t="inlineStr">
        <is>
          <t>Recommendation</t>
        </is>
      </c>
      <c r="X9" s="32" t="inlineStr">
        <is>
          <t>Comments/Notes</t>
        </is>
      </c>
      <c r="Y9" s="33" t="inlineStr">
        <is>
          <t>Total Score</t>
        </is>
      </c>
      <c r="Z9" s="34" t="inlineStr">
        <is>
          <t>Overall %</t>
        </is>
      </c>
      <c r="AA9" s="35" t="inlineStr">
        <is>
          <t>Hire 
No Hire
Standby</t>
        </is>
      </c>
      <c r="AB9" s="35" t="inlineStr">
        <is>
          <t>Buddy</t>
        </is>
      </c>
      <c r="AC9" s="35" t="inlineStr">
        <is>
          <t>Comments/Notes</t>
        </is>
      </c>
    </row>
    <row r="10" ht="16.5" customHeight="1">
      <c r="A10" s="36" t="n"/>
      <c r="B10" s="37" t="n"/>
      <c r="C10" s="37" t="inlineStr">
        <is>
          <t>Example 1</t>
        </is>
      </c>
      <c r="D10" s="37" t="n">
        <v>4</v>
      </c>
      <c r="E10" s="37" t="n">
        <v>4</v>
      </c>
      <c r="F10" s="37" t="n">
        <v>4</v>
      </c>
      <c r="G10" s="37" t="n">
        <v>4</v>
      </c>
      <c r="H10" s="37">
        <f>SUM(D10:G10)</f>
        <v/>
      </c>
      <c r="I10" s="37" t="inlineStr">
        <is>
          <t>Yes</t>
        </is>
      </c>
      <c r="J10" s="37" t="n"/>
      <c r="K10" s="37" t="n">
        <v>4</v>
      </c>
      <c r="L10" s="37" t="n">
        <v>4</v>
      </c>
      <c r="M10" s="37" t="n">
        <v>4</v>
      </c>
      <c r="N10" s="37" t="n">
        <v>4</v>
      </c>
      <c r="O10" s="37">
        <f>SUM(K10:N10)</f>
        <v/>
      </c>
      <c r="P10" s="37" t="inlineStr">
        <is>
          <t xml:space="preserve">No </t>
        </is>
      </c>
      <c r="Q10" s="37" t="n"/>
      <c r="R10" s="37" t="n">
        <v>4</v>
      </c>
      <c r="S10" s="37" t="n">
        <v>4</v>
      </c>
      <c r="T10" s="37" t="n">
        <v>4</v>
      </c>
      <c r="U10" s="37" t="n">
        <v>4</v>
      </c>
      <c r="V10" s="37">
        <f>SUM(R10:U10)</f>
        <v/>
      </c>
      <c r="W10" s="37" t="inlineStr">
        <is>
          <t>Standby</t>
        </is>
      </c>
      <c r="X10" s="37" t="n"/>
      <c r="Y10" s="38">
        <f>H10+O10+V10</f>
        <v/>
      </c>
      <c r="Z10" s="34">
        <f>Y10/48</f>
        <v/>
      </c>
      <c r="AA10" s="34" t="n"/>
      <c r="AB10" s="34" t="n"/>
      <c r="AC10" s="39" t="n"/>
    </row>
    <row r="11" ht="16.5" customHeight="1">
      <c r="A11" s="36" t="inlineStr">
        <is>
          <t>USA</t>
        </is>
      </c>
      <c r="B11" s="37" t="inlineStr">
        <is>
          <t>Mr.</t>
        </is>
      </c>
      <c r="C11" s="40" t="inlineStr">
        <is>
          <t>Avery Stone</t>
        </is>
      </c>
      <c r="D11" s="37" t="n">
        <v>4</v>
      </c>
      <c r="E11" s="37" t="n">
        <v>4</v>
      </c>
      <c r="F11" s="37" t="n">
        <v>3</v>
      </c>
      <c r="G11" s="37" t="n">
        <v>3</v>
      </c>
      <c r="H11" s="37">
        <f>SUM(D11:G11)</f>
        <v/>
      </c>
      <c r="I11" s="37" t="inlineStr">
        <is>
          <t>Yes</t>
        </is>
      </c>
      <c r="J11" s="37" t="inlineStr">
        <is>
          <t>Very coachable</t>
        </is>
      </c>
      <c r="K11" s="37" t="n">
        <v>4</v>
      </c>
      <c r="L11" s="37" t="n">
        <v>3</v>
      </c>
      <c r="M11" s="37" t="n">
        <v>2</v>
      </c>
      <c r="N11" s="37" t="n">
        <v>4</v>
      </c>
      <c r="O11" s="42">
        <f>SUM(K11:N11)</f>
        <v/>
      </c>
      <c r="P11" s="42" t="inlineStr">
        <is>
          <t>Yes</t>
        </is>
      </c>
      <c r="Q11" s="42" t="inlineStr">
        <is>
          <t>Calm under pressure</t>
        </is>
      </c>
      <c r="R11" s="37" t="n">
        <v>3</v>
      </c>
      <c r="S11" s="37" t="n">
        <v>2</v>
      </c>
      <c r="T11" s="37" t="n">
        <v>2</v>
      </c>
      <c r="U11" s="37" t="n">
        <v>4</v>
      </c>
      <c r="V11" s="37">
        <f>SUM(R11:U11)</f>
        <v/>
      </c>
      <c r="W11" s="37" t="inlineStr">
        <is>
          <t>Yes</t>
        </is>
      </c>
      <c r="X11" s="37" t="inlineStr">
        <is>
          <t>Needs more depth on AI</t>
        </is>
      </c>
      <c r="Y11" s="38">
        <f>H11+O11+V11</f>
        <v/>
      </c>
      <c r="Z11" s="34">
        <f>Y11/48</f>
        <v/>
      </c>
      <c r="AA11" s="34" t="n"/>
      <c r="AB11" s="34" t="n"/>
      <c r="AC11" s="39" t="n"/>
    </row>
    <row r="12" ht="16.5" customHeight="1">
      <c r="A12" s="36" t="inlineStr">
        <is>
          <t>USA</t>
        </is>
      </c>
      <c r="B12" s="37" t="inlineStr">
        <is>
          <t>Ms.</t>
        </is>
      </c>
      <c r="C12" s="40" t="inlineStr">
        <is>
          <t>Jordan Blake</t>
        </is>
      </c>
      <c r="D12" s="37" t="n">
        <v>4</v>
      </c>
      <c r="E12" s="37" t="n">
        <v>3</v>
      </c>
      <c r="F12" s="37" t="n">
        <v>3</v>
      </c>
      <c r="G12" s="37" t="n">
        <v>3</v>
      </c>
      <c r="H12" s="37">
        <f>SUM(D12:G12)</f>
        <v/>
      </c>
      <c r="I12" s="37" t="inlineStr">
        <is>
          <t>Yes</t>
        </is>
      </c>
      <c r="J12" s="37" t="inlineStr">
        <is>
          <t>Strong storyteller</t>
        </is>
      </c>
      <c r="K12" s="37" t="n">
        <v>4</v>
      </c>
      <c r="L12" s="37" t="n">
        <v>4</v>
      </c>
      <c r="M12" s="37" t="n">
        <v>3</v>
      </c>
      <c r="N12" s="37" t="n">
        <v>4</v>
      </c>
      <c r="O12" s="42">
        <f>SUM(K12:N12)</f>
        <v/>
      </c>
      <c r="P12" s="42" t="inlineStr">
        <is>
          <t>Yes</t>
        </is>
      </c>
      <c r="Q12" s="42" t="inlineStr">
        <is>
          <t>Calm under pressure</t>
        </is>
      </c>
      <c r="R12" s="37" t="n">
        <v>4</v>
      </c>
      <c r="S12" s="37" t="n">
        <v>4</v>
      </c>
      <c r="T12" s="37" t="n">
        <v>4</v>
      </c>
      <c r="U12" s="37" t="n">
        <v>4</v>
      </c>
      <c r="V12" s="37">
        <f>SUM(R12:U12)</f>
        <v/>
      </c>
      <c r="W12" s="37" t="inlineStr">
        <is>
          <t>Yes</t>
        </is>
      </c>
      <c r="X12" s="37" t="inlineStr">
        <is>
          <t>Needs more depth on AI</t>
        </is>
      </c>
      <c r="Y12" s="38">
        <f>H12+O12+V12</f>
        <v/>
      </c>
      <c r="Z12" s="34">
        <f>Y12/48</f>
        <v/>
      </c>
      <c r="AA12" s="34" t="n"/>
      <c r="AB12" s="34" t="inlineStr">
        <is>
          <t>P. Morales</t>
        </is>
      </c>
      <c r="AC12" s="39" t="n"/>
    </row>
    <row r="13" ht="16.5" customHeight="1">
      <c r="A13" s="36" t="inlineStr">
        <is>
          <t>CAN</t>
        </is>
      </c>
      <c r="B13" s="37" t="inlineStr">
        <is>
          <t>Mx.</t>
        </is>
      </c>
      <c r="C13" s="40" t="inlineStr">
        <is>
          <t>Morgan Ellis</t>
        </is>
      </c>
      <c r="D13" s="37" t="n">
        <v>3</v>
      </c>
      <c r="E13" s="37" t="n">
        <v>4</v>
      </c>
      <c r="F13" s="37" t="n">
        <v>4</v>
      </c>
      <c r="G13" s="37" t="n">
        <v>4</v>
      </c>
      <c r="H13" s="37">
        <f>SUM(D13:G13)</f>
        <v/>
      </c>
      <c r="I13" s="37" t="inlineStr">
        <is>
          <t>Yes</t>
        </is>
      </c>
      <c r="J13" s="37" t="inlineStr">
        <is>
          <t>Very coachable</t>
        </is>
      </c>
      <c r="K13" s="37" t="n">
        <v>3</v>
      </c>
      <c r="L13" s="37" t="n">
        <v>4</v>
      </c>
      <c r="M13" s="37" t="n">
        <v>4</v>
      </c>
      <c r="N13" s="37" t="n">
        <v>4</v>
      </c>
      <c r="O13" s="42">
        <f>SUM(K13:N13)</f>
        <v/>
      </c>
      <c r="P13" s="42" t="inlineStr">
        <is>
          <t>Yes</t>
        </is>
      </c>
      <c r="Q13" s="42" t="inlineStr">
        <is>
          <t>Very coachable</t>
        </is>
      </c>
      <c r="R13" s="37" t="n">
        <v>4</v>
      </c>
      <c r="S13" s="37" t="n">
        <v>3</v>
      </c>
      <c r="T13" s="37" t="n">
        <v>3</v>
      </c>
      <c r="U13" s="37" t="n">
        <v>3</v>
      </c>
      <c r="V13" s="37">
        <f>SUM(R13:U13)</f>
        <v/>
      </c>
      <c r="W13" s="37" t="inlineStr">
        <is>
          <t>Yes</t>
        </is>
      </c>
      <c r="X13" s="37" t="inlineStr">
        <is>
          <t>Needs more depth on AI</t>
        </is>
      </c>
      <c r="Y13" s="38">
        <f>H13+O13+V13</f>
        <v/>
      </c>
      <c r="Z13" s="34">
        <f>Y13/48</f>
        <v/>
      </c>
      <c r="AA13" s="34" t="n"/>
      <c r="AB13" s="34" t="inlineStr">
        <is>
          <t>P. Morales</t>
        </is>
      </c>
      <c r="AC13" s="39" t="n"/>
    </row>
    <row r="14" ht="16.5" customHeight="1">
      <c r="A14" s="36" t="inlineStr">
        <is>
          <t>USA</t>
        </is>
      </c>
      <c r="B14" s="37" t="inlineStr">
        <is>
          <t>Ms.</t>
        </is>
      </c>
      <c r="C14" s="40" t="inlineStr">
        <is>
          <t>Riley Chen</t>
        </is>
      </c>
      <c r="D14" s="37" t="n">
        <v>4</v>
      </c>
      <c r="E14" s="37" t="n">
        <v>2</v>
      </c>
      <c r="F14" s="37" t="n">
        <v>2</v>
      </c>
      <c r="G14" s="37" t="n">
        <v>2</v>
      </c>
      <c r="H14" s="37">
        <f>SUM(D14:G14)</f>
        <v/>
      </c>
      <c r="I14" s="37" t="inlineStr">
        <is>
          <t>Standby</t>
        </is>
      </c>
      <c r="J14" s="37" t="inlineStr">
        <is>
          <t>Great technical depth</t>
        </is>
      </c>
      <c r="K14" s="37" t="n">
        <v>3</v>
      </c>
      <c r="L14" s="37" t="n">
        <v>2</v>
      </c>
      <c r="M14" s="37" t="n">
        <v>4</v>
      </c>
      <c r="N14" s="37" t="n">
        <v>4</v>
      </c>
      <c r="O14" s="42">
        <f>SUM(K14:N14)</f>
        <v/>
      </c>
      <c r="P14" s="42" t="inlineStr">
        <is>
          <t>Yes</t>
        </is>
      </c>
      <c r="Q14" s="42" t="inlineStr">
        <is>
          <t>Needs more depth on AI</t>
        </is>
      </c>
      <c r="R14" s="37" t="n">
        <v>4</v>
      </c>
      <c r="S14" s="37" t="n">
        <v>2</v>
      </c>
      <c r="T14" s="37" t="n">
        <v>3</v>
      </c>
      <c r="U14" s="37" t="n">
        <v>3</v>
      </c>
      <c r="V14" s="37">
        <f>SUM(R14:U14)</f>
        <v/>
      </c>
      <c r="W14" s="37" t="inlineStr">
        <is>
          <t>Yes</t>
        </is>
      </c>
      <c r="X14" s="37" t="inlineStr">
        <is>
          <t>Calm under pressure</t>
        </is>
      </c>
      <c r="Y14" s="38">
        <f>H14+O14+V14</f>
        <v/>
      </c>
      <c r="Z14" s="34">
        <f>Y14/48</f>
        <v/>
      </c>
      <c r="AA14" s="34" t="n"/>
      <c r="AB14" s="34" t="n"/>
      <c r="AC14" s="39" t="n"/>
    </row>
    <row r="15" ht="16.5" customHeight="1">
      <c r="A15" s="36" t="inlineStr">
        <is>
          <t>MEX</t>
        </is>
      </c>
      <c r="B15" s="37" t="inlineStr">
        <is>
          <t>Mr.</t>
        </is>
      </c>
      <c r="C15" s="40" t="inlineStr">
        <is>
          <t>Sam Ortega</t>
        </is>
      </c>
      <c r="D15" s="37" t="n">
        <v>2</v>
      </c>
      <c r="E15" s="37" t="n">
        <v>2</v>
      </c>
      <c r="F15" s="37" t="n">
        <v>1</v>
      </c>
      <c r="G15" s="37" t="n">
        <v>3</v>
      </c>
      <c r="H15" s="37">
        <f>SUM(D15:G15)</f>
        <v/>
      </c>
      <c r="I15" s="37" t="inlineStr">
        <is>
          <t>Standby</t>
        </is>
      </c>
      <c r="J15" s="37" t="inlineStr">
        <is>
          <t>Strong storyteller</t>
        </is>
      </c>
      <c r="K15" s="37" t="n">
        <v>2</v>
      </c>
      <c r="L15" s="37" t="n">
        <v>2</v>
      </c>
      <c r="M15" s="37" t="n">
        <v>1</v>
      </c>
      <c r="N15" s="37" t="n">
        <v>1</v>
      </c>
      <c r="O15" s="42">
        <f>SUM(K15:N15)</f>
        <v/>
      </c>
      <c r="P15" s="42" t="inlineStr">
        <is>
          <t>Standby</t>
        </is>
      </c>
      <c r="Q15" s="42" t="inlineStr">
        <is>
          <t>Strong storyteller</t>
        </is>
      </c>
      <c r="R15" s="37" t="n">
        <v>3</v>
      </c>
      <c r="S15" s="37" t="n">
        <v>3</v>
      </c>
      <c r="T15" s="37" t="n">
        <v>2</v>
      </c>
      <c r="U15" s="37" t="n">
        <v>2</v>
      </c>
      <c r="V15" s="37">
        <f>SUM(R15:U15)</f>
        <v/>
      </c>
      <c r="W15" s="37" t="inlineStr">
        <is>
          <t>Standby</t>
        </is>
      </c>
      <c r="X15" s="37" t="inlineStr">
        <is>
          <t>Needs more depth on AI</t>
        </is>
      </c>
      <c r="Y15" s="38">
        <f>H15+O15+V15</f>
        <v/>
      </c>
      <c r="Z15" s="34">
        <f>Y15/48</f>
        <v/>
      </c>
      <c r="AA15" s="34" t="n"/>
      <c r="AB15" s="34" t="n"/>
      <c r="AC15" s="39" t="n"/>
    </row>
    <row r="16" ht="16.5" customHeight="1">
      <c r="A16" s="36" t="inlineStr">
        <is>
          <t>BRA</t>
        </is>
      </c>
      <c r="B16" s="37" t="inlineStr">
        <is>
          <t>Ms.</t>
        </is>
      </c>
      <c r="C16" s="40" t="inlineStr">
        <is>
          <t>Taylor Nunes</t>
        </is>
      </c>
      <c r="D16" s="37" t="n">
        <v>4</v>
      </c>
      <c r="E16" s="37" t="n">
        <v>4</v>
      </c>
      <c r="F16" s="37" t="n">
        <v>4</v>
      </c>
      <c r="G16" s="37" t="n">
        <v>4</v>
      </c>
      <c r="H16" s="37">
        <f>SUM(D16:G16)</f>
        <v/>
      </c>
      <c r="I16" s="37" t="inlineStr">
        <is>
          <t>Yes</t>
        </is>
      </c>
      <c r="J16" s="37" t="inlineStr">
        <is>
          <t>Strong storyteller</t>
        </is>
      </c>
      <c r="K16" s="37" t="n">
        <v>4</v>
      </c>
      <c r="L16" s="37" t="n">
        <v>4</v>
      </c>
      <c r="M16" s="37" t="n">
        <v>4</v>
      </c>
      <c r="N16" s="37" t="n">
        <v>3</v>
      </c>
      <c r="O16" s="42">
        <f>SUM(K16:N16)</f>
        <v/>
      </c>
      <c r="P16" s="42" t="inlineStr">
        <is>
          <t>Yes</t>
        </is>
      </c>
      <c r="Q16" s="42" t="inlineStr">
        <is>
          <t>Calm under pressure</t>
        </is>
      </c>
      <c r="R16" s="37" t="n">
        <v>4</v>
      </c>
      <c r="S16" s="37" t="n">
        <v>3</v>
      </c>
      <c r="T16" s="37" t="n">
        <v>4</v>
      </c>
      <c r="U16" s="37" t="n">
        <v>4</v>
      </c>
      <c r="V16" s="37">
        <f>SUM(R16:U16)</f>
        <v/>
      </c>
      <c r="W16" s="37" t="inlineStr">
        <is>
          <t>Yes</t>
        </is>
      </c>
      <c r="X16" s="37" t="inlineStr">
        <is>
          <t>Needs more depth on AI</t>
        </is>
      </c>
      <c r="Y16" s="38">
        <f>H16+O16+V16</f>
        <v/>
      </c>
      <c r="Z16" s="34">
        <f>Y16/48</f>
        <v/>
      </c>
      <c r="AA16" s="34" t="n"/>
      <c r="AB16" s="34" t="inlineStr">
        <is>
          <t>P. Morales</t>
        </is>
      </c>
      <c r="AC16" s="39" t="n"/>
    </row>
    <row r="17" ht="16.5" customHeight="1">
      <c r="A17" s="36" t="inlineStr">
        <is>
          <t>USA</t>
        </is>
      </c>
      <c r="B17" s="37" t="inlineStr">
        <is>
          <t>Mr.</t>
        </is>
      </c>
      <c r="C17" s="40" t="inlineStr">
        <is>
          <t>Casey Brooks</t>
        </is>
      </c>
      <c r="D17" s="37" t="n">
        <v>2</v>
      </c>
      <c r="E17" s="37" t="n">
        <v>2</v>
      </c>
      <c r="F17" s="37" t="n">
        <v>3</v>
      </c>
      <c r="G17" s="37" t="n">
        <v>2</v>
      </c>
      <c r="H17" s="37">
        <f>SUM(D17:G17)</f>
        <v/>
      </c>
      <c r="I17" s="37" t="inlineStr">
        <is>
          <t>Standby</t>
        </is>
      </c>
      <c r="J17" s="37" t="inlineStr">
        <is>
          <t>Strong storyteller</t>
        </is>
      </c>
      <c r="K17" s="37" t="n">
        <v>2</v>
      </c>
      <c r="L17" s="37" t="n">
        <v>2</v>
      </c>
      <c r="M17" s="37" t="n">
        <v>3</v>
      </c>
      <c r="N17" s="37" t="n">
        <v>1</v>
      </c>
      <c r="O17" s="42">
        <f>SUM(K17:N17)</f>
        <v/>
      </c>
      <c r="P17" s="42" t="inlineStr">
        <is>
          <t>Standby</t>
        </is>
      </c>
      <c r="Q17" s="42" t="inlineStr">
        <is>
          <t>Strong storyteller</t>
        </is>
      </c>
      <c r="R17" s="37" t="n">
        <v>1</v>
      </c>
      <c r="S17" s="37" t="n">
        <v>2</v>
      </c>
      <c r="T17" s="37" t="n">
        <v>2</v>
      </c>
      <c r="U17" s="37" t="n">
        <v>1</v>
      </c>
      <c r="V17" s="37">
        <f>SUM(R17:U17)</f>
        <v/>
      </c>
      <c r="W17" s="37" t="inlineStr">
        <is>
          <t>Standby</t>
        </is>
      </c>
      <c r="X17" s="37" t="inlineStr">
        <is>
          <t>Very coachable</t>
        </is>
      </c>
      <c r="Y17" s="38">
        <f>H17+O17+V17</f>
        <v/>
      </c>
      <c r="Z17" s="34">
        <f>Y17/48</f>
        <v/>
      </c>
      <c r="AA17" s="34" t="n"/>
      <c r="AB17" s="34" t="n"/>
      <c r="AC17" s="39" t="n"/>
    </row>
    <row r="18" ht="16.5" customHeight="1">
      <c r="A18" s="36" t="inlineStr">
        <is>
          <t>CAN</t>
        </is>
      </c>
      <c r="B18" s="37" t="inlineStr">
        <is>
          <t>Ms.</t>
        </is>
      </c>
      <c r="C18" s="40" t="inlineStr">
        <is>
          <t>Drew Patel</t>
        </is>
      </c>
      <c r="D18" s="37" t="n">
        <v>3</v>
      </c>
      <c r="E18" s="37" t="n">
        <v>4</v>
      </c>
      <c r="F18" s="37" t="n">
        <v>3</v>
      </c>
      <c r="G18" s="37" t="n">
        <v>4</v>
      </c>
      <c r="H18" s="37">
        <f>SUM(D18:G18)</f>
        <v/>
      </c>
      <c r="I18" s="37" t="inlineStr">
        <is>
          <t>Yes</t>
        </is>
      </c>
      <c r="J18" s="37" t="inlineStr">
        <is>
          <t>Very coachable</t>
        </is>
      </c>
      <c r="K18" s="37" t="n">
        <v>3</v>
      </c>
      <c r="L18" s="37" t="n">
        <v>4</v>
      </c>
      <c r="M18" s="37" t="n">
        <v>3</v>
      </c>
      <c r="N18" s="37" t="n">
        <v>3</v>
      </c>
      <c r="O18" s="42">
        <f>SUM(K18:N18)</f>
        <v/>
      </c>
      <c r="P18" s="42" t="inlineStr">
        <is>
          <t>Yes</t>
        </is>
      </c>
      <c r="Q18" s="42" t="inlineStr">
        <is>
          <t>Calm under pressure</t>
        </is>
      </c>
      <c r="R18" s="37" t="n">
        <v>3</v>
      </c>
      <c r="S18" s="37" t="n">
        <v>3</v>
      </c>
      <c r="T18" s="37" t="n">
        <v>3</v>
      </c>
      <c r="U18" s="37" t="n">
        <v>3</v>
      </c>
      <c r="V18" s="37">
        <f>SUM(R18:U18)</f>
        <v/>
      </c>
      <c r="W18" s="37" t="inlineStr">
        <is>
          <t>Yes</t>
        </is>
      </c>
      <c r="X18" s="37" t="inlineStr">
        <is>
          <t>Very coachable</t>
        </is>
      </c>
      <c r="Y18" s="38">
        <f>H18+O18+V18</f>
        <v/>
      </c>
      <c r="Z18" s="34">
        <f>Y18/48</f>
        <v/>
      </c>
      <c r="AA18" s="34" t="n"/>
      <c r="AB18" s="34" t="n"/>
      <c r="AC18" s="39" t="n"/>
    </row>
    <row r="19" ht="16.5" customHeight="1">
      <c r="A19" s="36" t="inlineStr">
        <is>
          <t>USA</t>
        </is>
      </c>
      <c r="B19" s="37" t="inlineStr">
        <is>
          <t>Ms.</t>
        </is>
      </c>
      <c r="C19" s="40" t="inlineStr">
        <is>
          <t>Quinn Harper</t>
        </is>
      </c>
      <c r="D19" s="37" t="n">
        <v>4</v>
      </c>
      <c r="E19" s="37" t="n">
        <v>4</v>
      </c>
      <c r="F19" s="37" t="n">
        <v>2</v>
      </c>
      <c r="G19" s="37" t="n">
        <v>4</v>
      </c>
      <c r="H19" s="37">
        <f>SUM(D19:G19)</f>
        <v/>
      </c>
      <c r="I19" s="37" t="inlineStr">
        <is>
          <t>Yes</t>
        </is>
      </c>
      <c r="J19" s="37" t="inlineStr">
        <is>
          <t>Strong storyteller</t>
        </is>
      </c>
      <c r="K19" s="37" t="n">
        <v>2</v>
      </c>
      <c r="L19" s="37" t="n">
        <v>2</v>
      </c>
      <c r="M19" s="37" t="n">
        <v>2</v>
      </c>
      <c r="N19" s="37" t="n">
        <v>3</v>
      </c>
      <c r="O19" s="42">
        <f>SUM(K19:N19)</f>
        <v/>
      </c>
      <c r="P19" s="42" t="inlineStr">
        <is>
          <t>Standby</t>
        </is>
      </c>
      <c r="Q19" s="42" t="inlineStr">
        <is>
          <t>Great technical depth</t>
        </is>
      </c>
      <c r="R19" s="37" t="n">
        <v>4</v>
      </c>
      <c r="S19" s="37" t="n">
        <v>3</v>
      </c>
      <c r="T19" s="37" t="n">
        <v>4</v>
      </c>
      <c r="U19" s="37" t="n">
        <v>4</v>
      </c>
      <c r="V19" s="37">
        <f>SUM(R19:U19)</f>
        <v/>
      </c>
      <c r="W19" s="37" t="inlineStr">
        <is>
          <t>Yes</t>
        </is>
      </c>
      <c r="X19" s="37" t="inlineStr">
        <is>
          <t>Calm under pressure</t>
        </is>
      </c>
      <c r="Y19" s="38">
        <f>H19+O19+V19</f>
        <v/>
      </c>
      <c r="Z19" s="34">
        <f>Y19/48</f>
        <v/>
      </c>
      <c r="AA19" s="34" t="n"/>
      <c r="AB19" s="34" t="n"/>
      <c r="AC19" s="39" t="n"/>
    </row>
    <row r="20">
      <c r="A20" s="36" t="inlineStr">
        <is>
          <t>COL</t>
        </is>
      </c>
      <c r="B20" s="37" t="inlineStr">
        <is>
          <t>Mr.</t>
        </is>
      </c>
      <c r="C20" s="40" t="inlineStr">
        <is>
          <t>Reese Duarte</t>
        </is>
      </c>
      <c r="D20" s="37" t="n">
        <v>4</v>
      </c>
      <c r="E20" s="37" t="n">
        <v>3</v>
      </c>
      <c r="F20" s="37" t="n">
        <v>4</v>
      </c>
      <c r="G20" s="37" t="n">
        <v>4</v>
      </c>
      <c r="H20" s="37">
        <f>SUM(D20:G20)</f>
        <v/>
      </c>
      <c r="I20" s="37" t="inlineStr">
        <is>
          <t>Yes</t>
        </is>
      </c>
      <c r="J20" s="37" t="inlineStr">
        <is>
          <t>Needs more depth on AI</t>
        </is>
      </c>
      <c r="K20" s="37" t="n">
        <v>3</v>
      </c>
      <c r="L20" s="37" t="n">
        <v>4</v>
      </c>
      <c r="M20" s="37" t="n">
        <v>4</v>
      </c>
      <c r="N20" s="37" t="n">
        <v>4</v>
      </c>
      <c r="O20" s="42">
        <f>SUM(K20:N20)</f>
        <v/>
      </c>
      <c r="P20" s="42" t="inlineStr">
        <is>
          <t>Yes</t>
        </is>
      </c>
      <c r="Q20" s="42" t="inlineStr">
        <is>
          <t>Strong storyteller</t>
        </is>
      </c>
      <c r="R20" s="37" t="n">
        <v>3</v>
      </c>
      <c r="S20" s="37" t="n">
        <v>4</v>
      </c>
      <c r="T20" s="37" t="n">
        <v>4</v>
      </c>
      <c r="U20" s="37" t="n">
        <v>4</v>
      </c>
      <c r="V20" s="37">
        <f>SUM(R20:U20)</f>
        <v/>
      </c>
      <c r="W20" s="37" t="inlineStr">
        <is>
          <t>Yes</t>
        </is>
      </c>
      <c r="X20" s="37" t="inlineStr">
        <is>
          <t>Great technical depth</t>
        </is>
      </c>
      <c r="Y20" s="38">
        <f>H20+O20+V20</f>
        <v/>
      </c>
      <c r="Z20" s="34">
        <f>Y20/48</f>
        <v/>
      </c>
      <c r="AA20" s="34" t="n"/>
      <c r="AB20" s="34" t="inlineStr">
        <is>
          <t>P. Morales</t>
        </is>
      </c>
      <c r="AC20" s="39" t="n"/>
    </row>
    <row r="21">
      <c r="A21" s="36" t="inlineStr">
        <is>
          <t>USA</t>
        </is>
      </c>
      <c r="B21" s="37" t="inlineStr">
        <is>
          <t>Mx.</t>
        </is>
      </c>
      <c r="C21" s="40" t="inlineStr">
        <is>
          <t>Skyler Moon</t>
        </is>
      </c>
      <c r="D21" s="37" t="n">
        <v>2</v>
      </c>
      <c r="E21" s="37" t="n">
        <v>2</v>
      </c>
      <c r="F21" s="37" t="n">
        <v>2</v>
      </c>
      <c r="G21" s="37" t="n">
        <v>2</v>
      </c>
      <c r="H21" s="37">
        <f>SUM(D21:G21)</f>
        <v/>
      </c>
      <c r="I21" s="37" t="inlineStr">
        <is>
          <t>Standby</t>
        </is>
      </c>
      <c r="J21" s="37" t="inlineStr">
        <is>
          <t>Strong storyteller</t>
        </is>
      </c>
      <c r="K21" s="37" t="n">
        <v>2</v>
      </c>
      <c r="L21" s="37" t="n">
        <v>2</v>
      </c>
      <c r="M21" s="37" t="n">
        <v>3</v>
      </c>
      <c r="N21" s="37" t="n">
        <v>2</v>
      </c>
      <c r="O21" s="42">
        <f>SUM(K21:N21)</f>
        <v/>
      </c>
      <c r="P21" s="42" t="inlineStr">
        <is>
          <t>Standby</t>
        </is>
      </c>
      <c r="Q21" s="42" t="inlineStr">
        <is>
          <t>Very coachable</t>
        </is>
      </c>
      <c r="R21" s="37" t="n">
        <v>2</v>
      </c>
      <c r="S21" s="37" t="n">
        <v>1</v>
      </c>
      <c r="T21" s="37" t="n">
        <v>1</v>
      </c>
      <c r="U21" s="37" t="n">
        <v>3</v>
      </c>
      <c r="V21" s="37">
        <f>SUM(R21:U21)</f>
        <v/>
      </c>
      <c r="W21" s="37" t="inlineStr">
        <is>
          <t>Standby</t>
        </is>
      </c>
      <c r="X21" s="37" t="inlineStr">
        <is>
          <t>Calm under pressure</t>
        </is>
      </c>
      <c r="Y21" s="38">
        <f>H21+O21+V21</f>
        <v/>
      </c>
      <c r="Z21" s="34">
        <f>Y21/48</f>
        <v/>
      </c>
      <c r="AA21" s="34" t="n"/>
      <c r="AB21" s="34" t="n"/>
      <c r="AC21" s="39" t="n"/>
    </row>
    <row r="22">
      <c r="A22" s="36" t="inlineStr">
        <is>
          <t>CAN</t>
        </is>
      </c>
      <c r="B22" s="37" t="inlineStr">
        <is>
          <t>Mr.</t>
        </is>
      </c>
      <c r="C22" s="40" t="inlineStr">
        <is>
          <t>Parker Lowe</t>
        </is>
      </c>
      <c r="D22" s="37" t="n">
        <v>4</v>
      </c>
      <c r="E22" s="37" t="n">
        <v>3</v>
      </c>
      <c r="F22" s="37" t="n">
        <v>3</v>
      </c>
      <c r="G22" s="37" t="n">
        <v>3</v>
      </c>
      <c r="H22" s="37">
        <f>SUM(D22:G22)</f>
        <v/>
      </c>
      <c r="I22" s="37" t="inlineStr">
        <is>
          <t>Yes</t>
        </is>
      </c>
      <c r="J22" s="37" t="inlineStr">
        <is>
          <t>Needs more depth on AI</t>
        </is>
      </c>
      <c r="K22" s="37" t="n">
        <v>3</v>
      </c>
      <c r="L22" s="37" t="n">
        <v>4</v>
      </c>
      <c r="M22" s="37" t="n">
        <v>4</v>
      </c>
      <c r="N22" s="37" t="n">
        <v>4</v>
      </c>
      <c r="O22" s="42">
        <f>SUM(K22:N22)</f>
        <v/>
      </c>
      <c r="P22" s="42" t="inlineStr">
        <is>
          <t>Yes</t>
        </is>
      </c>
      <c r="Q22" s="42" t="inlineStr">
        <is>
          <t>Strong storyteller</t>
        </is>
      </c>
      <c r="R22" s="37" t="n">
        <v>3</v>
      </c>
      <c r="S22" s="37" t="n">
        <v>4</v>
      </c>
      <c r="T22" s="37" t="n">
        <v>4</v>
      </c>
      <c r="U22" s="37" t="n">
        <v>3</v>
      </c>
      <c r="V22" s="37">
        <f>SUM(R22:U22)</f>
        <v/>
      </c>
      <c r="W22" s="37" t="inlineStr">
        <is>
          <t>Yes</t>
        </is>
      </c>
      <c r="X22" s="37" t="inlineStr">
        <is>
          <t>Great technical depth</t>
        </is>
      </c>
      <c r="Y22" s="38">
        <f>H22+O22+V22</f>
        <v/>
      </c>
      <c r="Z22" s="34">
        <f>Y22/48</f>
        <v/>
      </c>
      <c r="AA22" s="34" t="n"/>
      <c r="AB22" s="34" t="inlineStr">
        <is>
          <t>L. Brandt</t>
        </is>
      </c>
      <c r="AC22" s="39" t="n"/>
    </row>
    <row r="23">
      <c r="A23" s="36" t="inlineStr">
        <is>
          <t>USA</t>
        </is>
      </c>
      <c r="B23" s="37" t="inlineStr">
        <is>
          <t>Ms.</t>
        </is>
      </c>
      <c r="C23" s="40" t="inlineStr">
        <is>
          <t>Jamie Fox</t>
        </is>
      </c>
      <c r="D23" s="37" t="n">
        <v>2</v>
      </c>
      <c r="E23" s="37" t="n">
        <v>4</v>
      </c>
      <c r="F23" s="37" t="n">
        <v>2</v>
      </c>
      <c r="G23" s="37" t="n">
        <v>4</v>
      </c>
      <c r="H23" s="37">
        <f>SUM(D23:G23)</f>
        <v/>
      </c>
      <c r="I23" s="37" t="inlineStr">
        <is>
          <t>Yes</t>
        </is>
      </c>
      <c r="J23" s="37" t="inlineStr">
        <is>
          <t>Strong storyteller</t>
        </is>
      </c>
      <c r="K23" s="37" t="n">
        <v>4</v>
      </c>
      <c r="L23" s="37" t="n">
        <v>2</v>
      </c>
      <c r="M23" s="37" t="n">
        <v>4</v>
      </c>
      <c r="N23" s="37" t="n">
        <v>4</v>
      </c>
      <c r="O23" s="42">
        <f>SUM(K23:N23)</f>
        <v/>
      </c>
      <c r="P23" s="42" t="inlineStr">
        <is>
          <t>Yes</t>
        </is>
      </c>
      <c r="Q23" s="42" t="inlineStr">
        <is>
          <t>Very coachable</t>
        </is>
      </c>
      <c r="R23" s="37" t="n">
        <v>2</v>
      </c>
      <c r="S23" s="37" t="n">
        <v>2</v>
      </c>
      <c r="T23" s="37" t="n">
        <v>2</v>
      </c>
      <c r="U23" s="37" t="n">
        <v>2</v>
      </c>
      <c r="V23" s="37">
        <f>SUM(R23:U23)</f>
        <v/>
      </c>
      <c r="W23" s="37" t="inlineStr">
        <is>
          <t>Standby</t>
        </is>
      </c>
      <c r="X23" s="37" t="inlineStr">
        <is>
          <t>Strong storyteller</t>
        </is>
      </c>
      <c r="Y23" s="38">
        <f>H23+O23+V23</f>
        <v/>
      </c>
      <c r="Z23" s="34">
        <f>Y23/48</f>
        <v/>
      </c>
      <c r="AA23" s="34" t="n"/>
      <c r="AB23" s="34" t="n"/>
      <c r="AC23" s="39" t="n"/>
    </row>
    <row r="24">
      <c r="A24" s="36" t="inlineStr">
        <is>
          <t>ARG</t>
        </is>
      </c>
      <c r="B24" s="37" t="inlineStr">
        <is>
          <t>Mr.</t>
        </is>
      </c>
      <c r="C24" s="40" t="inlineStr">
        <is>
          <t>Alex Rivera</t>
        </is>
      </c>
      <c r="D24" s="37" t="n">
        <v>4</v>
      </c>
      <c r="E24" s="37" t="n">
        <v>3</v>
      </c>
      <c r="F24" s="37" t="n">
        <v>4</v>
      </c>
      <c r="G24" s="37" t="n">
        <v>4</v>
      </c>
      <c r="H24" s="37">
        <f>SUM(D24:G24)</f>
        <v/>
      </c>
      <c r="I24" s="37" t="inlineStr">
        <is>
          <t>Yes</t>
        </is>
      </c>
      <c r="J24" s="37" t="inlineStr">
        <is>
          <t>Needs more depth on AI</t>
        </is>
      </c>
      <c r="K24" s="37" t="n">
        <v>4</v>
      </c>
      <c r="L24" s="37" t="n">
        <v>2</v>
      </c>
      <c r="M24" s="37" t="n">
        <v>2</v>
      </c>
      <c r="N24" s="37" t="n">
        <v>3</v>
      </c>
      <c r="O24" s="42">
        <f>SUM(K24:N24)</f>
        <v/>
      </c>
      <c r="P24" s="42" t="inlineStr">
        <is>
          <t>Yes</t>
        </is>
      </c>
      <c r="Q24" s="42" t="inlineStr">
        <is>
          <t>Very coachable</t>
        </is>
      </c>
      <c r="R24" s="37" t="n">
        <v>2</v>
      </c>
      <c r="S24" s="37" t="n">
        <v>4</v>
      </c>
      <c r="T24" s="37" t="n">
        <v>2</v>
      </c>
      <c r="U24" s="37" t="n">
        <v>3</v>
      </c>
      <c r="V24" s="37">
        <f>SUM(R24:U24)</f>
        <v/>
      </c>
      <c r="W24" s="37" t="inlineStr">
        <is>
          <t>Yes</t>
        </is>
      </c>
      <c r="X24" s="37" t="inlineStr">
        <is>
          <t>Strong storyteller</t>
        </is>
      </c>
      <c r="Y24" s="38">
        <f>H24+O24+V24</f>
        <v/>
      </c>
      <c r="Z24" s="34">
        <f>Y24/48</f>
        <v/>
      </c>
      <c r="AA24" s="34" t="n"/>
      <c r="AB24" s="34" t="n"/>
      <c r="AC24" s="39" t="n"/>
    </row>
    <row r="25">
      <c r="A25" s="36" t="inlineStr">
        <is>
          <t>USA</t>
        </is>
      </c>
      <c r="B25" s="37" t="inlineStr">
        <is>
          <t>Ms.</t>
        </is>
      </c>
      <c r="C25" s="40" t="inlineStr">
        <is>
          <t>Hayden Cole</t>
        </is>
      </c>
      <c r="D25" s="37" t="n">
        <v>4</v>
      </c>
      <c r="E25" s="37" t="n">
        <v>3</v>
      </c>
      <c r="F25" s="37" t="n">
        <v>2</v>
      </c>
      <c r="G25" s="37" t="n">
        <v>3</v>
      </c>
      <c r="H25" s="37">
        <f>SUM(D25:G25)</f>
        <v/>
      </c>
      <c r="I25" s="37" t="inlineStr">
        <is>
          <t>Yes</t>
        </is>
      </c>
      <c r="J25" s="37" t="inlineStr">
        <is>
          <t>Calm under pressure</t>
        </is>
      </c>
      <c r="K25" s="37" t="n">
        <v>3</v>
      </c>
      <c r="L25" s="37" t="n">
        <v>3</v>
      </c>
      <c r="M25" s="37" t="n">
        <v>3</v>
      </c>
      <c r="N25" s="37" t="n">
        <v>3</v>
      </c>
      <c r="O25" s="42">
        <f>SUM(K25:N25)</f>
        <v/>
      </c>
      <c r="P25" s="42" t="inlineStr">
        <is>
          <t>Yes</t>
        </is>
      </c>
      <c r="Q25" s="42" t="inlineStr">
        <is>
          <t>Needs more depth on AI</t>
        </is>
      </c>
      <c r="R25" s="37" t="n">
        <v>4</v>
      </c>
      <c r="S25" s="37" t="n">
        <v>3</v>
      </c>
      <c r="T25" s="37" t="n">
        <v>3</v>
      </c>
      <c r="U25" s="37" t="n">
        <v>4</v>
      </c>
      <c r="V25" s="37">
        <f>SUM(R25:U25)</f>
        <v/>
      </c>
      <c r="W25" s="37" t="inlineStr">
        <is>
          <t>Yes</t>
        </is>
      </c>
      <c r="X25" s="37" t="inlineStr">
        <is>
          <t>Calm under pressure</t>
        </is>
      </c>
      <c r="Y25" s="38">
        <f>H25+O25+V25</f>
        <v/>
      </c>
      <c r="Z25" s="34">
        <f>Y25/48</f>
        <v/>
      </c>
      <c r="AA25" s="34" t="n"/>
      <c r="AB25" s="34" t="n"/>
      <c r="AC25" s="39" t="n"/>
    </row>
    <row r="26">
      <c r="A26" s="36" t="inlineStr">
        <is>
          <t>MEX</t>
        </is>
      </c>
      <c r="B26" s="37" t="inlineStr">
        <is>
          <t>Ms.</t>
        </is>
      </c>
      <c r="C26" s="40" t="inlineStr">
        <is>
          <t>Rowan Silva</t>
        </is>
      </c>
      <c r="D26" s="37" t="n">
        <v>4</v>
      </c>
      <c r="E26" s="37" t="n">
        <v>3</v>
      </c>
      <c r="F26" s="37" t="n">
        <v>3</v>
      </c>
      <c r="G26" s="37" t="n">
        <v>4</v>
      </c>
      <c r="H26" s="37">
        <f>SUM(D26:G26)</f>
        <v/>
      </c>
      <c r="I26" s="37" t="inlineStr">
        <is>
          <t>Yes</t>
        </is>
      </c>
      <c r="J26" s="37" t="inlineStr">
        <is>
          <t>Great technical depth</t>
        </is>
      </c>
      <c r="K26" s="37" t="n">
        <v>3</v>
      </c>
      <c r="L26" s="37" t="n">
        <v>3</v>
      </c>
      <c r="M26" s="37" t="n">
        <v>3</v>
      </c>
      <c r="N26" s="37" t="n">
        <v>3</v>
      </c>
      <c r="O26" s="42">
        <f>SUM(K26:N26)</f>
        <v/>
      </c>
      <c r="P26" s="42" t="inlineStr">
        <is>
          <t>Yes</t>
        </is>
      </c>
      <c r="Q26" s="42" t="inlineStr">
        <is>
          <t>Needs more depth on AI</t>
        </is>
      </c>
      <c r="R26" s="37" t="n">
        <v>3</v>
      </c>
      <c r="S26" s="37" t="n">
        <v>2</v>
      </c>
      <c r="T26" s="37" t="n">
        <v>2</v>
      </c>
      <c r="U26" s="37" t="n">
        <v>3</v>
      </c>
      <c r="V26" s="37">
        <f>SUM(R26:U26)</f>
        <v/>
      </c>
      <c r="W26" s="37" t="inlineStr">
        <is>
          <t>Standby</t>
        </is>
      </c>
      <c r="X26" s="37" t="inlineStr">
        <is>
          <t>Great technical depth</t>
        </is>
      </c>
      <c r="Y26" s="38">
        <f>H26+O26+V26</f>
        <v/>
      </c>
      <c r="Z26" s="34">
        <f>Y26/48</f>
        <v/>
      </c>
      <c r="AA26" s="34" t="n"/>
      <c r="AB26" s="34" t="n"/>
      <c r="AC26" s="39" t="n"/>
    </row>
    <row r="27">
      <c r="A27" s="36" t="inlineStr">
        <is>
          <t>USA</t>
        </is>
      </c>
      <c r="B27" s="37" t="inlineStr">
        <is>
          <t>Mr.</t>
        </is>
      </c>
      <c r="C27" s="40" t="inlineStr">
        <is>
          <t>Emerson Reid</t>
        </is>
      </c>
      <c r="D27" s="37" t="n">
        <v>3</v>
      </c>
      <c r="E27" s="37" t="n">
        <v>3</v>
      </c>
      <c r="F27" s="37" t="n">
        <v>2</v>
      </c>
      <c r="G27" s="37" t="n">
        <v>2</v>
      </c>
      <c r="H27" s="37">
        <f>SUM(D27:G27)</f>
        <v/>
      </c>
      <c r="I27" s="37" t="inlineStr">
        <is>
          <t>Standby</t>
        </is>
      </c>
      <c r="J27" s="37" t="inlineStr">
        <is>
          <t>Needs more depth on AI</t>
        </is>
      </c>
      <c r="K27" s="37" t="n">
        <v>3</v>
      </c>
      <c r="L27" s="37" t="n">
        <v>3</v>
      </c>
      <c r="M27" s="37" t="n">
        <v>2</v>
      </c>
      <c r="N27" s="37" t="n">
        <v>3</v>
      </c>
      <c r="O27" s="42">
        <f>SUM(K27:N27)</f>
        <v/>
      </c>
      <c r="P27" s="42" t="inlineStr">
        <is>
          <t>Yes</t>
        </is>
      </c>
      <c r="Q27" s="42" t="inlineStr">
        <is>
          <t>Calm under pressure</t>
        </is>
      </c>
      <c r="R27" s="37" t="n">
        <v>1</v>
      </c>
      <c r="S27" s="37" t="n">
        <v>1</v>
      </c>
      <c r="T27" s="37" t="n">
        <v>2</v>
      </c>
      <c r="U27" s="37" t="n">
        <v>1</v>
      </c>
      <c r="V27" s="37">
        <f>SUM(R27:U27)</f>
        <v/>
      </c>
      <c r="W27" s="37" t="inlineStr">
        <is>
          <t>No</t>
        </is>
      </c>
      <c r="X27" s="37" t="inlineStr">
        <is>
          <t>Calm under pressure</t>
        </is>
      </c>
      <c r="Y27" s="38">
        <f>H27+O27+V27</f>
        <v/>
      </c>
      <c r="Z27" s="34">
        <f>Y27/48</f>
        <v/>
      </c>
      <c r="AA27" s="34" t="n"/>
      <c r="AB27" s="34" t="n"/>
      <c r="AC27" s="39" t="n"/>
    </row>
    <row r="28">
      <c r="A28" s="36" t="inlineStr">
        <is>
          <t>CAN</t>
        </is>
      </c>
      <c r="B28" s="37" t="inlineStr">
        <is>
          <t>Ms.</t>
        </is>
      </c>
      <c r="C28" s="40" t="inlineStr">
        <is>
          <t>Finley Grant</t>
        </is>
      </c>
      <c r="D28" s="37" t="n">
        <v>4</v>
      </c>
      <c r="E28" s="37" t="n">
        <v>4</v>
      </c>
      <c r="F28" s="37" t="n">
        <v>3</v>
      </c>
      <c r="G28" s="37" t="n">
        <v>4</v>
      </c>
      <c r="H28" s="37">
        <f>SUM(D28:G28)</f>
        <v/>
      </c>
      <c r="I28" s="37" t="inlineStr">
        <is>
          <t>Yes</t>
        </is>
      </c>
      <c r="J28" s="37" t="inlineStr">
        <is>
          <t>Needs more depth on AI</t>
        </is>
      </c>
      <c r="K28" s="37" t="n">
        <v>4</v>
      </c>
      <c r="L28" s="37" t="n">
        <v>4</v>
      </c>
      <c r="M28" s="37" t="n">
        <v>3</v>
      </c>
      <c r="N28" s="37" t="n">
        <v>4</v>
      </c>
      <c r="O28" s="42">
        <f>SUM(K28:N28)</f>
        <v/>
      </c>
      <c r="P28" s="42" t="inlineStr">
        <is>
          <t>Yes</t>
        </is>
      </c>
      <c r="Q28" s="42" t="inlineStr">
        <is>
          <t>Great technical depth</t>
        </is>
      </c>
      <c r="R28" s="37" t="n">
        <v>4</v>
      </c>
      <c r="S28" s="37" t="n">
        <v>3</v>
      </c>
      <c r="T28" s="37" t="n">
        <v>3</v>
      </c>
      <c r="U28" s="37" t="n">
        <v>4</v>
      </c>
      <c r="V28" s="37">
        <f>SUM(R28:U28)</f>
        <v/>
      </c>
      <c r="W28" s="37" t="inlineStr">
        <is>
          <t>Yes</t>
        </is>
      </c>
      <c r="X28" s="37" t="inlineStr">
        <is>
          <t>Strong storyteller</t>
        </is>
      </c>
      <c r="Y28" s="38">
        <f>H28+O28+V28</f>
        <v/>
      </c>
      <c r="Z28" s="34">
        <f>Y28/48</f>
        <v/>
      </c>
      <c r="AA28" s="34" t="n"/>
      <c r="AB28" s="34" t="inlineStr">
        <is>
          <t>L. Brandt</t>
        </is>
      </c>
      <c r="AC28" s="39" t="n"/>
    </row>
    <row r="29">
      <c r="A29" s="36" t="inlineStr">
        <is>
          <t>BRA</t>
        </is>
      </c>
      <c r="B29" s="37" t="inlineStr">
        <is>
          <t>Mr.</t>
        </is>
      </c>
      <c r="C29" s="40" t="inlineStr">
        <is>
          <t>Logan Costa</t>
        </is>
      </c>
      <c r="D29" s="37" t="n">
        <v>2</v>
      </c>
      <c r="E29" s="37" t="n">
        <v>2</v>
      </c>
      <c r="F29" s="37" t="n">
        <v>3</v>
      </c>
      <c r="G29" s="37" t="n">
        <v>2</v>
      </c>
      <c r="H29" s="37">
        <f>SUM(D29:G29)</f>
        <v/>
      </c>
      <c r="I29" s="37" t="inlineStr">
        <is>
          <t>Standby</t>
        </is>
      </c>
      <c r="J29" s="37" t="inlineStr">
        <is>
          <t>Great technical depth</t>
        </is>
      </c>
      <c r="K29" s="37" t="n">
        <v>1</v>
      </c>
      <c r="L29" s="37" t="n">
        <v>3</v>
      </c>
      <c r="M29" s="37" t="n">
        <v>1</v>
      </c>
      <c r="N29" s="37" t="n">
        <v>2</v>
      </c>
      <c r="O29" s="42">
        <f>SUM(K29:N29)</f>
        <v/>
      </c>
      <c r="P29" s="42" t="inlineStr">
        <is>
          <t>Standby</t>
        </is>
      </c>
      <c r="Q29" s="42" t="inlineStr">
        <is>
          <t>Great technical depth</t>
        </is>
      </c>
      <c r="R29" s="37" t="n">
        <v>2</v>
      </c>
      <c r="S29" s="37" t="n">
        <v>2</v>
      </c>
      <c r="T29" s="37" t="n">
        <v>2</v>
      </c>
      <c r="U29" s="37" t="n">
        <v>3</v>
      </c>
      <c r="V29" s="37">
        <f>SUM(R29:U29)</f>
        <v/>
      </c>
      <c r="W29" s="37" t="inlineStr">
        <is>
          <t>Standby</t>
        </is>
      </c>
      <c r="X29" s="37" t="inlineStr">
        <is>
          <t>Great technical depth</t>
        </is>
      </c>
      <c r="Y29" s="38">
        <f>H29+O29+V29</f>
        <v/>
      </c>
      <c r="Z29" s="34">
        <f>Y29/48</f>
        <v/>
      </c>
      <c r="AA29" s="34" t="n"/>
      <c r="AB29" s="34" t="n"/>
      <c r="AC29" s="39" t="n"/>
    </row>
    <row r="30">
      <c r="A30" s="36" t="inlineStr">
        <is>
          <t>USA</t>
        </is>
      </c>
      <c r="B30" s="37" t="inlineStr">
        <is>
          <t>Ms.</t>
        </is>
      </c>
      <c r="C30" s="40" t="inlineStr">
        <is>
          <t>Sage Warren</t>
        </is>
      </c>
      <c r="D30" s="37" t="n">
        <v>3</v>
      </c>
      <c r="E30" s="37" t="n">
        <v>3</v>
      </c>
      <c r="F30" s="37" t="n">
        <v>2</v>
      </c>
      <c r="G30" s="37" t="n">
        <v>3</v>
      </c>
      <c r="H30" s="37">
        <f>SUM(D30:G30)</f>
        <v/>
      </c>
      <c r="I30" s="37" t="inlineStr">
        <is>
          <t>Yes</t>
        </is>
      </c>
      <c r="J30" s="37" t="inlineStr">
        <is>
          <t>Needs more depth on AI</t>
        </is>
      </c>
      <c r="K30" s="37" t="n">
        <v>2</v>
      </c>
      <c r="L30" s="37" t="n">
        <v>1</v>
      </c>
      <c r="M30" s="37" t="n">
        <v>3</v>
      </c>
      <c r="N30" s="37" t="n">
        <v>2</v>
      </c>
      <c r="O30" s="42">
        <f>SUM(K30:N30)</f>
        <v/>
      </c>
      <c r="P30" s="42" t="inlineStr">
        <is>
          <t>Standby</t>
        </is>
      </c>
      <c r="Q30" s="42" t="inlineStr">
        <is>
          <t>Needs more depth on AI</t>
        </is>
      </c>
      <c r="R30" s="37" t="n"/>
      <c r="S30" s="37" t="n"/>
      <c r="T30" s="37" t="n"/>
      <c r="U30" s="37" t="n"/>
      <c r="V30" s="37">
        <f>SUM(R30:U30)</f>
        <v/>
      </c>
      <c r="W30" s="37" t="n"/>
      <c r="X30" s="37" t="n"/>
      <c r="Y30" s="38">
        <f>H30+O30+V30</f>
        <v/>
      </c>
      <c r="Z30" s="34">
        <f>Y30/48</f>
        <v/>
      </c>
      <c r="AA30" s="34" t="n"/>
      <c r="AB30" s="34" t="n"/>
      <c r="AC30" s="39" t="n"/>
    </row>
  </sheetData>
  <autoFilter ref="A9:AC9">
    <sortState ref="A10:AC19">
      <sortCondition descending="1" ref="Z9"/>
    </sortState>
  </autoFilter>
  <mergeCells count="1">
    <mergeCell ref="A1:A6"/>
  </mergeCells>
  <pageMargins left="0.7" right="0.7" top="0.75" bottom="0.75" header="0.3" footer="0.3"/>
  <pageSetup orientation="portrait" paperSize="9"/>
  <headerFooter>
    <oddHeader/>
    <oddFooter>&amp;R&amp;"Aptos"&amp;8 &amp;K000000_x000d_# Cisco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Silvia Terruzzi (sterruzz)</dc:creator>
  <dcterms:created xsi:type="dcterms:W3CDTF">2026-10-05T21:00:34Z</dcterms:created>
  <dcterms:modified xsi:type="dcterms:W3CDTF">2026-10-19T15:01:39Z</dcterms:modified>
  <cp:lastModifiedBy>Kenneth Onyebinachi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0x0101005FECCBB259250C41BEB76B6DA5A24AC4</vt:lpwstr>
  </property>
  <property name="_dlc_DocIdItemGuid" fmtid="{D5CDD505-2E9C-101B-9397-08002B2CF9AE}" pid="3">
    <vt:lpwstr>51829590-7fe4-49e3-91cc-042cf03c5777</vt:lpwstr>
  </property>
  <property name="MediaServiceImageTags" fmtid="{D5CDD505-2E9C-101B-9397-08002B2CF9AE}" pid="4">
    <vt:lpwstr/>
  </property>
</Properties>
</file>