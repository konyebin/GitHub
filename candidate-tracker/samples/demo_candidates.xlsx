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3260" windowHeight="13900" tabRatio="600" firstSheet="0" activeTab="0" autoFilterDateGrouping="1"/>
  </bookViews>
  <sheets>
    <sheet name="TEMPLATE" sheetId="1" state="visible" r:id="rId1"/>
  </sheets>
  <definedNames>
    <definedName name="_xlnm._FilterDatabase" localSheetId="0" hidden="1">'TEMPLATE'!$A$9:$AC$9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0"/>
      <scheme val="minor"/>
    </font>
    <font>
      <name val="Arial Narrow"/>
      <family val="2"/>
      <b val="1"/>
      <sz val="11"/>
    </font>
    <font>
      <name val="Arial Narrow"/>
      <family val="2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indexed="8"/>
      <sz val="10"/>
    </font>
  </fonts>
  <fills count="8">
    <fill>
      <patternFill/>
    </fill>
    <fill>
      <patternFill patternType="gray125"/>
    </fill>
    <fill>
      <patternFill patternType="solid">
        <fgColor theme="6" tint="0.3999755851924192"/>
        <bgColor rgb="FF000000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3" tint="0.5999938962981048"/>
        <bgColor rgb="FF000000"/>
      </patternFill>
    </fill>
    <fill>
      <patternFill patternType="solid">
        <fgColor rgb="FFDA9694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4" fillId="0" borderId="0"/>
  </cellStyleXfs>
  <cellXfs count="49">
    <xf numFmtId="0" fontId="0" fillId="0" borderId="0" pivotButton="0" quotePrefix="0" xfId="0"/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0" fontId="1" fillId="0" borderId="0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2" fillId="4" borderId="5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9" fontId="3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2" fontId="1" fillId="0" borderId="0" applyAlignment="1" pivotButton="0" quotePrefix="0" xfId="1">
      <alignment horizontal="center" vertical="center"/>
    </xf>
    <xf numFmtId="164" fontId="1" fillId="0" borderId="12" applyAlignment="1" pivotButton="0" quotePrefix="0" xfId="0">
      <alignment vertical="center" textRotation="90"/>
    </xf>
    <xf numFmtId="164" fontId="1" fillId="0" borderId="12" applyAlignment="1" pivotButton="0" quotePrefix="0" xfId="0">
      <alignment horizontal="center" vertical="center" textRotation="90"/>
    </xf>
    <xf numFmtId="0" fontId="1" fillId="0" borderId="12" applyAlignment="1" pivotButton="0" quotePrefix="0" xfId="0">
      <alignment vertical="center"/>
    </xf>
    <xf numFmtId="164" fontId="1" fillId="2" borderId="12" applyAlignment="1" pivotButton="0" quotePrefix="0" xfId="0">
      <alignment horizontal="center" vertical="center" textRotation="90" wrapText="1"/>
    </xf>
    <xf numFmtId="0" fontId="1" fillId="5" borderId="12" applyAlignment="1" pivotButton="0" quotePrefix="0" xfId="0">
      <alignment horizontal="center" vertical="center" textRotation="90" wrapText="1"/>
    </xf>
    <xf numFmtId="164" fontId="1" fillId="3" borderId="12" applyAlignment="1" pivotButton="0" quotePrefix="0" xfId="0">
      <alignment horizontal="center" vertical="center" textRotation="90" wrapText="1"/>
    </xf>
    <xf numFmtId="164" fontId="1" fillId="6" borderId="12" applyAlignment="1" pivotButton="0" quotePrefix="0" xfId="0">
      <alignment horizontal="center" vertical="center" textRotation="90" wrapText="1"/>
    </xf>
    <xf numFmtId="164" fontId="1" fillId="4" borderId="12" applyAlignment="1" pivotButton="0" quotePrefix="0" xfId="0">
      <alignment horizontal="center" vertical="center" textRotation="90" wrapText="1"/>
    </xf>
    <xf numFmtId="164" fontId="1" fillId="7" borderId="12" applyAlignment="1" pivotButton="0" quotePrefix="0" xfId="0">
      <alignment horizontal="center" vertical="center" textRotation="90" wrapText="1"/>
    </xf>
    <xf numFmtId="164" fontId="1" fillId="0" borderId="12" applyAlignment="1" pivotButton="0" quotePrefix="0" xfId="0">
      <alignment horizontal="center" vertical="center" textRotation="90" wrapText="1"/>
    </xf>
    <xf numFmtId="10" fontId="1" fillId="0" borderId="12" applyAlignment="1" pivotButton="0" quotePrefix="0" xfId="0">
      <alignment horizontal="center" vertical="center"/>
    </xf>
    <xf numFmtId="10" fontId="1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 wrapText="1"/>
    </xf>
    <xf numFmtId="0" fontId="2" fillId="0" borderId="13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9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AC24"/>
  <sheetViews>
    <sheetView tabSelected="1" zoomScale="110" zoomScaleNormal="11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M4" sqref="M4"/>
    </sheetView>
  </sheetViews>
  <sheetFormatPr baseColWidth="10" defaultColWidth="9" defaultRowHeight="14"/>
  <cols>
    <col width="8.3984375" customWidth="1" style="6" min="1" max="1"/>
    <col width="5" customWidth="1" style="6" min="2" max="2"/>
    <col width="24.796875" customWidth="1" style="6" min="3" max="3"/>
    <col outlineLevel="1" width="8.796875" customWidth="1" style="6" min="4" max="7"/>
    <col width="10.796875" customWidth="1" style="6" min="8" max="10"/>
    <col outlineLevel="1" width="8.796875" customWidth="1" style="6" min="11" max="14"/>
    <col width="10.796875" customWidth="1" style="6" min="15" max="17"/>
    <col outlineLevel="1" width="8.796875" customWidth="1" style="6" min="18" max="20"/>
    <col outlineLevel="1" width="11.59765625" customWidth="1" style="6" min="21" max="21"/>
    <col width="10.796875" customWidth="1" style="6" min="22" max="24"/>
    <col width="8.796875" customWidth="1" style="6" min="25" max="26"/>
    <col width="10.796875" customWidth="1" style="6" min="27" max="27"/>
    <col hidden="1" width="35.19921875" customWidth="1" style="6" min="28" max="28"/>
    <col width="31.59765625" customWidth="1" style="6" min="29" max="29"/>
    <col width="9" customWidth="1" style="6" min="30" max="16384"/>
  </cols>
  <sheetData>
    <row r="1" ht="14.5" customHeight="1">
      <c r="A1" s="46" t="inlineStr">
        <is>
          <t>Notes:</t>
        </is>
      </c>
      <c r="B1" s="1" t="inlineStr">
        <is>
          <t>Interview; max points is 16. Assessors will score candidates based on the competencies.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1" t="n">
        <v>48</v>
      </c>
      <c r="Z1" s="5" t="n">
        <v>1</v>
      </c>
      <c r="AA1" s="13" t="inlineStr">
        <is>
          <t>Hire</t>
        </is>
      </c>
      <c r="AB1" s="7" t="inlineStr">
        <is>
          <t>Hire</t>
        </is>
      </c>
    </row>
    <row r="2" ht="14.5" customHeight="1">
      <c r="A2" s="47" t="n"/>
      <c r="B2" s="8" t="inlineStr">
        <is>
          <t>Role Play; max points is 16. Assessors will score candidates based on the competencies.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9" t="n"/>
      <c r="L2" s="3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10">
        <f>Y1*Z2</f>
        <v/>
      </c>
      <c r="Z2" s="5" t="n">
        <v>0.85</v>
      </c>
      <c r="AA2" s="13" t="inlineStr">
        <is>
          <t>Hire/Standby</t>
        </is>
      </c>
      <c r="AB2" s="7" t="inlineStr">
        <is>
          <t>passing</t>
        </is>
      </c>
    </row>
    <row r="3" ht="14.5" customHeight="1">
      <c r="A3" s="47" t="n"/>
      <c r="B3" s="11" t="inlineStr">
        <is>
          <t>Presentation; max points is 16. Assessors will score candidates based on the competencies.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  <c r="L3" s="3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10">
        <f>Y1*Z3</f>
        <v/>
      </c>
      <c r="Z3" s="5" t="n">
        <v>0.7</v>
      </c>
      <c r="AA3" s="13" t="inlineStr">
        <is>
          <t>Standby</t>
        </is>
      </c>
    </row>
    <row r="4" ht="14.5" customHeight="1">
      <c r="A4" s="47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 t="n"/>
      <c r="L4" s="3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10">
        <f>Y1*Z4</f>
        <v/>
      </c>
      <c r="Z4" s="5" t="n">
        <v>0.65</v>
      </c>
      <c r="AA4" s="13" t="inlineStr">
        <is>
          <t>No Hire</t>
        </is>
      </c>
    </row>
    <row r="5" ht="14.5" customHeight="1">
      <c r="A5" s="47" t="n"/>
      <c r="B5" s="16" t="inlineStr">
        <is>
          <t>Total Score = sum of Interview + Role Play + Presentation (max total score is 48)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3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0">
        <f>Y1*Z5</f>
        <v/>
      </c>
      <c r="Z5" s="5" t="n">
        <v>0.5</v>
      </c>
      <c r="AA5" s="13" t="inlineStr">
        <is>
          <t>No Hire</t>
        </is>
      </c>
    </row>
    <row r="6" ht="14.5" customHeight="1">
      <c r="A6" s="48" t="n"/>
      <c r="B6" s="20" t="inlineStr">
        <is>
          <t>Overall % = sum of Total Score divided by 48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2" t="n"/>
      <c r="L6" s="3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AA6" s="7" t="n"/>
      <c r="AB6" s="7" t="n"/>
    </row>
    <row r="7">
      <c r="A7" s="4" t="inlineStr">
        <is>
          <t>MS Form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7" t="n"/>
      <c r="AA7" s="23" t="n"/>
      <c r="AB7" s="7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3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7" t="n"/>
      <c r="AA8" s="7" t="n"/>
      <c r="AB8" s="7" t="n"/>
    </row>
    <row r="9" ht="92" customHeight="1">
      <c r="A9" s="24" t="inlineStr">
        <is>
          <t>Country</t>
        </is>
      </c>
      <c r="B9" s="25" t="inlineStr">
        <is>
          <t xml:space="preserve">Salutation </t>
        </is>
      </c>
      <c r="C9" s="26" t="inlineStr">
        <is>
          <t>Candidate Name</t>
        </is>
      </c>
      <c r="D9" s="27" t="inlineStr">
        <is>
          <t>1. Growth Mindset, Resilience &amp; Learning Agility</t>
        </is>
      </c>
      <c r="E9" s="27" t="inlineStr">
        <is>
          <t>2. Executive Presence &amp; Communication</t>
        </is>
      </c>
      <c r="F9" s="27" t="inlineStr">
        <is>
          <t>3. Collaboration &amp; Teamwork</t>
        </is>
      </c>
      <c r="G9" s="27" t="inlineStr">
        <is>
          <t>4. Business Acumen &amp; Technical Insights</t>
        </is>
      </c>
      <c r="H9" s="28" t="inlineStr">
        <is>
          <t>TOTAL - Interview</t>
        </is>
      </c>
      <c r="I9" s="28" t="inlineStr">
        <is>
          <t>Recommendation</t>
        </is>
      </c>
      <c r="J9" s="28" t="inlineStr">
        <is>
          <t>Comments/Notes</t>
        </is>
      </c>
      <c r="K9" s="29" t="inlineStr">
        <is>
          <t>1. Builds Trust / Trusted Advisor</t>
        </is>
      </c>
      <c r="L9" s="29" t="inlineStr">
        <is>
          <t>2. Executive Presence &amp; Communication</t>
        </is>
      </c>
      <c r="M9" s="29" t="inlineStr">
        <is>
          <t>3. Coachability</t>
        </is>
      </c>
      <c r="N9" s="29" t="inlineStr">
        <is>
          <t>4. Explains Concepts Simply</t>
        </is>
      </c>
      <c r="O9" s="30" t="inlineStr">
        <is>
          <t>TOTAL -  Role Play (weighted to 16)</t>
        </is>
      </c>
      <c r="P9" s="30" t="inlineStr">
        <is>
          <t>Recommendation</t>
        </is>
      </c>
      <c r="Q9" s="30" t="inlineStr">
        <is>
          <t>Comments/Notes</t>
        </is>
      </c>
      <c r="R9" s="31" t="inlineStr">
        <is>
          <t>1. AI Fluency &amp; Orchestration</t>
        </is>
      </c>
      <c r="S9" s="31" t="inlineStr">
        <is>
          <t>2. Executive Presence &amp; Communication</t>
        </is>
      </c>
      <c r="T9" s="31" t="inlineStr">
        <is>
          <t>3. Coachability</t>
        </is>
      </c>
      <c r="U9" s="31" t="inlineStr">
        <is>
          <t>4. Goes Deep (Technical Acumen)</t>
        </is>
      </c>
      <c r="V9" s="32" t="inlineStr">
        <is>
          <t>TOTAL - Presentation</t>
        </is>
      </c>
      <c r="W9" s="32" t="inlineStr">
        <is>
          <t>Recommendation</t>
        </is>
      </c>
      <c r="X9" s="32" t="inlineStr">
        <is>
          <t>Comments/Notes</t>
        </is>
      </c>
      <c r="Y9" s="33" t="inlineStr">
        <is>
          <t>Total Score</t>
        </is>
      </c>
      <c r="Z9" s="34" t="inlineStr">
        <is>
          <t>Overall %</t>
        </is>
      </c>
      <c r="AA9" s="35" t="inlineStr">
        <is>
          <t>Hire 
No Hire
Standby</t>
        </is>
      </c>
      <c r="AB9" s="35" t="inlineStr">
        <is>
          <t>Buddy</t>
        </is>
      </c>
      <c r="AC9" s="35" t="inlineStr">
        <is>
          <t>Comments/Notes</t>
        </is>
      </c>
    </row>
    <row r="10" ht="16.5" customHeight="1">
      <c r="A10" s="36" t="n"/>
      <c r="B10" s="37" t="n"/>
      <c r="C10" s="37" t="inlineStr">
        <is>
          <t>Example 1</t>
        </is>
      </c>
      <c r="D10" s="37" t="n">
        <v>4</v>
      </c>
      <c r="E10" s="37" t="n">
        <v>4</v>
      </c>
      <c r="F10" s="37" t="n">
        <v>4</v>
      </c>
      <c r="G10" s="37" t="n">
        <v>4</v>
      </c>
      <c r="H10" s="37">
        <f>SUM(D10:G10)</f>
        <v/>
      </c>
      <c r="I10" s="37" t="inlineStr">
        <is>
          <t>Yes</t>
        </is>
      </c>
      <c r="J10" s="37" t="n"/>
      <c r="K10" s="37" t="n">
        <v>4</v>
      </c>
      <c r="L10" s="37" t="n">
        <v>4</v>
      </c>
      <c r="M10" s="37" t="n">
        <v>4</v>
      </c>
      <c r="N10" s="37" t="n">
        <v>4</v>
      </c>
      <c r="O10" s="37">
        <f>SUM(K10:N10)</f>
        <v/>
      </c>
      <c r="P10" s="37" t="inlineStr">
        <is>
          <t xml:space="preserve">No </t>
        </is>
      </c>
      <c r="Q10" s="37" t="n"/>
      <c r="R10" s="37" t="n">
        <v>4</v>
      </c>
      <c r="S10" s="37" t="n">
        <v>4</v>
      </c>
      <c r="T10" s="37" t="n">
        <v>4</v>
      </c>
      <c r="U10" s="37" t="n">
        <v>4</v>
      </c>
      <c r="V10" s="37">
        <f>SUM(R10:U10)</f>
        <v/>
      </c>
      <c r="W10" s="37" t="inlineStr">
        <is>
          <t>Standby</t>
        </is>
      </c>
      <c r="X10" s="37" t="n"/>
      <c r="Y10" s="38">
        <f>H10+O10+V10</f>
        <v/>
      </c>
      <c r="Z10" s="34">
        <f>Y10/48</f>
        <v/>
      </c>
      <c r="AA10" s="34" t="n"/>
      <c r="AB10" s="34" t="n"/>
      <c r="AC10" s="39" t="n"/>
    </row>
    <row r="11" ht="16.5" customHeight="1">
      <c r="A11" s="36" t="inlineStr">
        <is>
          <t>USA</t>
        </is>
      </c>
      <c r="B11" s="37" t="inlineStr">
        <is>
          <t>Mx.</t>
        </is>
      </c>
      <c r="C11" s="40" t="inlineStr">
        <is>
          <t>Avery Stone</t>
        </is>
      </c>
      <c r="D11" s="37" t="n">
        <v>3</v>
      </c>
      <c r="E11" s="37" t="n">
        <v>4</v>
      </c>
      <c r="F11" s="37" t="n">
        <v>2</v>
      </c>
      <c r="G11" s="37" t="n">
        <v>2</v>
      </c>
      <c r="H11" s="37">
        <f>SUM(D11:G11)</f>
        <v/>
      </c>
      <c r="I11" s="37" t="n"/>
      <c r="J11" s="37" t="inlineStr"/>
      <c r="K11" s="37" t="n">
        <v>2</v>
      </c>
      <c r="L11" s="37" t="n">
        <v>3</v>
      </c>
      <c r="M11" s="37" t="n">
        <v>2</v>
      </c>
      <c r="N11" s="37" t="n">
        <v>3</v>
      </c>
      <c r="O11" s="42">
        <f>SUM(K11:M11)/12*16</f>
        <v/>
      </c>
      <c r="P11" s="42" t="n"/>
      <c r="Q11" s="42" t="n"/>
      <c r="R11" s="37" t="n">
        <v>2</v>
      </c>
      <c r="S11" s="37" t="n">
        <v>2</v>
      </c>
      <c r="T11" s="37" t="n">
        <v>4</v>
      </c>
      <c r="U11" s="37" t="n">
        <v>4</v>
      </c>
      <c r="V11" s="37">
        <f>SUM(R11:U11)</f>
        <v/>
      </c>
      <c r="W11" s="37" t="n"/>
      <c r="X11" s="37" t="n"/>
      <c r="Y11" s="38">
        <f>H11+O11+V11</f>
        <v/>
      </c>
      <c r="Z11" s="34">
        <f>Y11/48</f>
        <v/>
      </c>
      <c r="AA11" s="34" t="n"/>
      <c r="AB11" s="34" t="inlineStr"/>
      <c r="AC11" s="39" t="n"/>
    </row>
    <row r="12" ht="16.5" customHeight="1">
      <c r="A12" s="36" t="inlineStr">
        <is>
          <t>USA</t>
        </is>
      </c>
      <c r="B12" s="37" t="inlineStr">
        <is>
          <t>Mx.</t>
        </is>
      </c>
      <c r="C12" s="40" t="inlineStr">
        <is>
          <t>Jordan Blake</t>
        </is>
      </c>
      <c r="D12" s="37" t="n">
        <v>2</v>
      </c>
      <c r="E12" s="37" t="n">
        <v>1</v>
      </c>
      <c r="F12" s="37" t="n">
        <v>3</v>
      </c>
      <c r="G12" s="37" t="n">
        <v>1</v>
      </c>
      <c r="H12" s="37">
        <f>SUM(D12:G12)</f>
        <v/>
      </c>
      <c r="I12" s="37" t="n"/>
      <c r="J12" s="37" t="inlineStr"/>
      <c r="K12" s="37" t="n">
        <v>1</v>
      </c>
      <c r="L12" s="37" t="n">
        <v>2</v>
      </c>
      <c r="M12" s="37" t="n">
        <v>1</v>
      </c>
      <c r="N12" s="37" t="n">
        <v>3</v>
      </c>
      <c r="O12" s="42">
        <f>SUM(K12:M12)/12*16</f>
        <v/>
      </c>
      <c r="P12" s="42" t="n"/>
      <c r="Q12" s="42" t="n"/>
      <c r="R12" s="37" t="n">
        <v>1</v>
      </c>
      <c r="S12" s="37" t="n">
        <v>2</v>
      </c>
      <c r="T12" s="37" t="n">
        <v>1</v>
      </c>
      <c r="U12" s="37" t="n">
        <v>2</v>
      </c>
      <c r="V12" s="37">
        <f>SUM(R12:U12)</f>
        <v/>
      </c>
      <c r="W12" s="37" t="n"/>
      <c r="X12" s="37" t="n"/>
      <c r="Y12" s="38">
        <f>H12+O12+V12</f>
        <v/>
      </c>
      <c r="Z12" s="34">
        <f>Y12/48</f>
        <v/>
      </c>
      <c r="AA12" s="34" t="n"/>
      <c r="AB12" s="34" t="inlineStr"/>
      <c r="AC12" s="34" t="n"/>
    </row>
    <row r="13" ht="16.5" customHeight="1">
      <c r="A13" s="36" t="inlineStr">
        <is>
          <t>CAN</t>
        </is>
      </c>
      <c r="B13" s="37" t="inlineStr">
        <is>
          <t>Mx.</t>
        </is>
      </c>
      <c r="C13" s="40" t="inlineStr">
        <is>
          <t>Morgan Ellis</t>
        </is>
      </c>
      <c r="D13" s="37" t="n">
        <v>4</v>
      </c>
      <c r="E13" s="37" t="n">
        <v>3</v>
      </c>
      <c r="F13" s="37" t="n">
        <v>2</v>
      </c>
      <c r="G13" s="37" t="n">
        <v>3</v>
      </c>
      <c r="H13" s="37">
        <f>SUM(D13:G13)</f>
        <v/>
      </c>
      <c r="I13" s="37" t="n"/>
      <c r="J13" s="37" t="inlineStr"/>
      <c r="K13" s="37" t="n">
        <v>3</v>
      </c>
      <c r="L13" s="37" t="n">
        <v>2</v>
      </c>
      <c r="M13" s="37" t="n">
        <v>3</v>
      </c>
      <c r="N13" s="37" t="n">
        <v>3</v>
      </c>
      <c r="O13" s="42">
        <f>SUM(K13:M13)/12*16</f>
        <v/>
      </c>
      <c r="P13" s="42" t="n"/>
      <c r="Q13" s="42" t="n"/>
      <c r="R13" s="37" t="n">
        <v>2</v>
      </c>
      <c r="S13" s="37" t="n">
        <v>2</v>
      </c>
      <c r="T13" s="37" t="n">
        <v>2</v>
      </c>
      <c r="U13" s="37" t="n">
        <v>3</v>
      </c>
      <c r="V13" s="37">
        <f>SUM(R13:U13)</f>
        <v/>
      </c>
      <c r="W13" s="37" t="n"/>
      <c r="X13" s="37" t="n"/>
      <c r="Y13" s="38">
        <f>H13+O13+V13</f>
        <v/>
      </c>
      <c r="Z13" s="34">
        <f>Y13/48</f>
        <v/>
      </c>
      <c r="AA13" s="34" t="n"/>
      <c r="AB13" s="34" t="inlineStr"/>
      <c r="AC13" s="34" t="n"/>
    </row>
    <row r="14" ht="16.5" customHeight="1">
      <c r="A14" s="36" t="inlineStr">
        <is>
          <t>USA</t>
        </is>
      </c>
      <c r="B14" s="37" t="inlineStr">
        <is>
          <t>Mx.</t>
        </is>
      </c>
      <c r="C14" s="37" t="inlineStr">
        <is>
          <t>Riley Chen</t>
        </is>
      </c>
      <c r="D14" s="37" t="n">
        <v>4</v>
      </c>
      <c r="E14" s="37" t="n">
        <v>3</v>
      </c>
      <c r="F14" s="37" t="n">
        <v>4</v>
      </c>
      <c r="G14" s="37" t="n">
        <v>4</v>
      </c>
      <c r="H14" s="37">
        <f>SUM(D14:G14)</f>
        <v/>
      </c>
      <c r="I14" s="37" t="n"/>
      <c r="J14" s="37" t="inlineStr"/>
      <c r="K14" s="37" t="n">
        <v>3</v>
      </c>
      <c r="L14" s="37" t="n">
        <v>3</v>
      </c>
      <c r="M14" s="37" t="n">
        <v>3</v>
      </c>
      <c r="N14" s="37" t="n">
        <v>3</v>
      </c>
      <c r="O14" s="42">
        <f>SUM(K14:M14)/12*16</f>
        <v/>
      </c>
      <c r="P14" s="42" t="n"/>
      <c r="Q14" s="42" t="n"/>
      <c r="R14" s="37" t="n">
        <v>3</v>
      </c>
      <c r="S14" s="37" t="n">
        <v>2</v>
      </c>
      <c r="T14" s="37" t="n">
        <v>3</v>
      </c>
      <c r="U14" s="37" t="n">
        <v>4</v>
      </c>
      <c r="V14" s="37">
        <f>SUM(R14:U14)</f>
        <v/>
      </c>
      <c r="W14" s="37" t="n"/>
      <c r="X14" s="37" t="n"/>
      <c r="Y14" s="38">
        <f>H14+O14+V14</f>
        <v/>
      </c>
      <c r="Z14" s="34">
        <f>Y14/48</f>
        <v/>
      </c>
      <c r="AA14" s="34" t="n"/>
      <c r="AB14" s="34" t="inlineStr"/>
      <c r="AC14" s="39" t="n"/>
    </row>
    <row r="15" ht="16.5" customHeight="1">
      <c r="A15" s="36" t="inlineStr">
        <is>
          <t>MEX</t>
        </is>
      </c>
      <c r="B15" s="37" t="inlineStr">
        <is>
          <t>Mx.</t>
        </is>
      </c>
      <c r="C15" s="37" t="inlineStr">
        <is>
          <t>Sam Ortega</t>
        </is>
      </c>
      <c r="D15" s="37" t="n">
        <v>4</v>
      </c>
      <c r="E15" s="37" t="n">
        <v>3</v>
      </c>
      <c r="F15" s="37" t="n">
        <v>2</v>
      </c>
      <c r="G15" s="37" t="n">
        <v>2</v>
      </c>
      <c r="H15" s="37">
        <f>SUM(D15:G15)</f>
        <v/>
      </c>
      <c r="I15" s="37" t="n"/>
      <c r="J15" s="37" t="inlineStr"/>
      <c r="K15" s="37" t="n">
        <v>4</v>
      </c>
      <c r="L15" s="37" t="n">
        <v>3</v>
      </c>
      <c r="M15" s="37" t="n">
        <v>3</v>
      </c>
      <c r="N15" s="37" t="n">
        <v>3</v>
      </c>
      <c r="O15" s="42">
        <f>SUM(K15:M15)/12*16</f>
        <v/>
      </c>
      <c r="P15" s="42" t="n"/>
      <c r="Q15" s="42" t="n"/>
      <c r="R15" s="37" t="n">
        <v>4</v>
      </c>
      <c r="S15" s="37" t="n">
        <v>4</v>
      </c>
      <c r="T15" s="37" t="n">
        <v>2</v>
      </c>
      <c r="U15" s="37" t="n">
        <v>2</v>
      </c>
      <c r="V15" s="37">
        <f>SUM(R15:U15)</f>
        <v/>
      </c>
      <c r="W15" s="37" t="n"/>
      <c r="X15" s="37" t="n"/>
      <c r="Y15" s="38">
        <f>H15+O15+V15</f>
        <v/>
      </c>
      <c r="Z15" s="34">
        <f>Y15/48</f>
        <v/>
      </c>
      <c r="AA15" s="34" t="n"/>
      <c r="AB15" s="34" t="inlineStr"/>
      <c r="AC15" s="39" t="n"/>
    </row>
    <row r="16" ht="16.5" customHeight="1">
      <c r="A16" s="36" t="inlineStr">
        <is>
          <t>BRA</t>
        </is>
      </c>
      <c r="B16" s="37" t="inlineStr">
        <is>
          <t>Mx.</t>
        </is>
      </c>
      <c r="C16" s="37" t="inlineStr">
        <is>
          <t>Taylor Nunes</t>
        </is>
      </c>
      <c r="D16" s="37" t="n">
        <v>4</v>
      </c>
      <c r="E16" s="37" t="n">
        <v>4</v>
      </c>
      <c r="F16" s="37" t="n">
        <v>4</v>
      </c>
      <c r="G16" s="37" t="n">
        <v>4</v>
      </c>
      <c r="H16" s="37">
        <f>SUM(D16:G16)</f>
        <v/>
      </c>
      <c r="I16" s="37" t="n"/>
      <c r="J16" s="37" t="inlineStr">
        <is>
          <t>Strong communicator</t>
        </is>
      </c>
      <c r="K16" s="37" t="n">
        <v>4</v>
      </c>
      <c r="L16" s="37" t="n">
        <v>3</v>
      </c>
      <c r="M16" s="37" t="n">
        <v>3</v>
      </c>
      <c r="N16" s="37" t="n">
        <v>4</v>
      </c>
      <c r="O16" s="42">
        <f>SUM(K16:M16)/12*16</f>
        <v/>
      </c>
      <c r="P16" s="42" t="n"/>
      <c r="Q16" s="42" t="n"/>
      <c r="R16" s="37" t="n">
        <v>4</v>
      </c>
      <c r="S16" s="37" t="n">
        <v>3</v>
      </c>
      <c r="T16" s="37" t="n">
        <v>3</v>
      </c>
      <c r="U16" s="37" t="n">
        <v>4</v>
      </c>
      <c r="V16" s="37">
        <f>SUM(R16:U16)</f>
        <v/>
      </c>
      <c r="W16" s="37" t="n"/>
      <c r="X16" s="37" t="n"/>
      <c r="Y16" s="38">
        <f>H16+O16+V16</f>
        <v/>
      </c>
      <c r="Z16" s="34">
        <f>Y16/48</f>
        <v/>
      </c>
      <c r="AA16" s="34" t="n"/>
      <c r="AB16" s="34" t="inlineStr">
        <is>
          <t>A. Buddy</t>
        </is>
      </c>
      <c r="AC16" s="39" t="n"/>
    </row>
    <row r="17" ht="16.5" customHeight="1">
      <c r="A17" s="36" t="inlineStr">
        <is>
          <t>USA</t>
        </is>
      </c>
      <c r="B17" s="37" t="inlineStr">
        <is>
          <t>Mx.</t>
        </is>
      </c>
      <c r="C17" s="37" t="inlineStr">
        <is>
          <t>Casey Brooks</t>
        </is>
      </c>
      <c r="D17" s="37" t="n">
        <v>4</v>
      </c>
      <c r="E17" s="37" t="n">
        <v>4</v>
      </c>
      <c r="F17" s="37" t="n">
        <v>4</v>
      </c>
      <c r="G17" s="37" t="n">
        <v>4</v>
      </c>
      <c r="H17" s="37">
        <f>SUM(D17:G17)</f>
        <v/>
      </c>
      <c r="I17" s="37" t="n"/>
      <c r="J17" s="37" t="inlineStr">
        <is>
          <t>Strong communicator</t>
        </is>
      </c>
      <c r="K17" s="37" t="n">
        <v>3</v>
      </c>
      <c r="L17" s="37" t="n">
        <v>4</v>
      </c>
      <c r="M17" s="37" t="n">
        <v>4</v>
      </c>
      <c r="N17" s="37" t="n">
        <v>4</v>
      </c>
      <c r="O17" s="42">
        <f>SUM(K17:M17)/12*16</f>
        <v/>
      </c>
      <c r="P17" s="42" t="n"/>
      <c r="Q17" s="42" t="n"/>
      <c r="R17" s="37" t="n">
        <v>3</v>
      </c>
      <c r="S17" s="37" t="n">
        <v>4</v>
      </c>
      <c r="T17" s="37" t="n">
        <v>3</v>
      </c>
      <c r="U17" s="37" t="n">
        <v>4</v>
      </c>
      <c r="V17" s="37">
        <f>SUM(R17:U17)</f>
        <v/>
      </c>
      <c r="W17" s="37" t="n"/>
      <c r="X17" s="37" t="n"/>
      <c r="Y17" s="38">
        <f>H17+O17+V17</f>
        <v/>
      </c>
      <c r="Z17" s="34">
        <f>Y17/48</f>
        <v/>
      </c>
      <c r="AA17" s="34" t="n"/>
      <c r="AB17" s="34" t="inlineStr">
        <is>
          <t>A. Buddy</t>
        </is>
      </c>
      <c r="AC17" s="39" t="n"/>
    </row>
    <row r="18" ht="16.5" customHeight="1">
      <c r="A18" s="36" t="inlineStr">
        <is>
          <t>CAN</t>
        </is>
      </c>
      <c r="B18" s="37" t="inlineStr">
        <is>
          <t>Mx.</t>
        </is>
      </c>
      <c r="C18" s="37" t="inlineStr">
        <is>
          <t>Drew Patel</t>
        </is>
      </c>
      <c r="D18" s="37" t="n">
        <v>3</v>
      </c>
      <c r="E18" s="37" t="n">
        <v>3</v>
      </c>
      <c r="F18" s="37" t="n">
        <v>4</v>
      </c>
      <c r="G18" s="37" t="n">
        <v>4</v>
      </c>
      <c r="H18" s="37">
        <f>SUM(D18:G18)</f>
        <v/>
      </c>
      <c r="I18" s="37" t="n"/>
      <c r="J18" s="37" t="inlineStr"/>
      <c r="K18" s="37" t="n">
        <v>4</v>
      </c>
      <c r="L18" s="37" t="n">
        <v>2</v>
      </c>
      <c r="M18" s="37" t="n">
        <v>3</v>
      </c>
      <c r="N18" s="37" t="n">
        <v>4</v>
      </c>
      <c r="O18" s="42">
        <f>SUM(K18:M18)/12*16</f>
        <v/>
      </c>
      <c r="P18" s="42" t="n"/>
      <c r="Q18" s="42" t="n"/>
      <c r="R18" s="37" t="n">
        <v>4</v>
      </c>
      <c r="S18" s="37" t="n">
        <v>3</v>
      </c>
      <c r="T18" s="37" t="n">
        <v>3</v>
      </c>
      <c r="U18" s="37" t="n">
        <v>4</v>
      </c>
      <c r="V18" s="37">
        <f>SUM(R18:U18)</f>
        <v/>
      </c>
      <c r="W18" s="37" t="n"/>
      <c r="X18" s="37" t="n"/>
      <c r="Y18" s="38">
        <f>H18+O18+V18</f>
        <v/>
      </c>
      <c r="Z18" s="34">
        <f>Y18/48</f>
        <v/>
      </c>
      <c r="AA18" s="34" t="n"/>
      <c r="AB18" s="34" t="inlineStr"/>
      <c r="AC18" s="39" t="n"/>
    </row>
    <row r="19" ht="16.5" customHeight="1">
      <c r="A19" s="36" t="inlineStr">
        <is>
          <t>USA</t>
        </is>
      </c>
      <c r="B19" s="37" t="inlineStr">
        <is>
          <t>Mx.</t>
        </is>
      </c>
      <c r="C19" s="37" t="inlineStr">
        <is>
          <t>Quinn Harper</t>
        </is>
      </c>
      <c r="D19" s="37" t="n">
        <v>4</v>
      </c>
      <c r="E19" s="37" t="n">
        <v>4</v>
      </c>
      <c r="F19" s="37" t="n">
        <v>4</v>
      </c>
      <c r="G19" s="37" t="n">
        <v>4</v>
      </c>
      <c r="H19" s="37">
        <f>SUM(D19:G19)</f>
        <v/>
      </c>
      <c r="I19" s="37" t="n"/>
      <c r="J19" s="37" t="inlineStr">
        <is>
          <t>Strong communicator</t>
        </is>
      </c>
      <c r="K19" s="37" t="n">
        <v>4</v>
      </c>
      <c r="L19" s="37" t="n">
        <v>4</v>
      </c>
      <c r="M19" s="37" t="n">
        <v>3</v>
      </c>
      <c r="N19" s="37" t="n">
        <v>4</v>
      </c>
      <c r="O19" s="42">
        <f>SUM(K19:M19)/12*16</f>
        <v/>
      </c>
      <c r="P19" s="42" t="n"/>
      <c r="Q19" s="42" t="n"/>
      <c r="R19" s="37" t="n">
        <v>4</v>
      </c>
      <c r="S19" s="37" t="n">
        <v>4</v>
      </c>
      <c r="T19" s="37" t="n">
        <v>4</v>
      </c>
      <c r="U19" s="37" t="n">
        <v>3</v>
      </c>
      <c r="V19" s="37">
        <f>SUM(R19:U19)</f>
        <v/>
      </c>
      <c r="W19" s="37" t="n"/>
      <c r="X19" s="37" t="n"/>
      <c r="Y19" s="38">
        <f>H19+O19+V19</f>
        <v/>
      </c>
      <c r="Z19" s="34">
        <f>Y19/48</f>
        <v/>
      </c>
      <c r="AA19" s="34" t="n"/>
      <c r="AB19" s="34" t="inlineStr">
        <is>
          <t>A. Buddy</t>
        </is>
      </c>
      <c r="AC19" s="39" t="n"/>
    </row>
    <row r="20">
      <c r="A20" t="inlineStr">
        <is>
          <t>COL</t>
        </is>
      </c>
      <c r="B20" t="inlineStr">
        <is>
          <t>Mx.</t>
        </is>
      </c>
      <c r="C20" t="inlineStr">
        <is>
          <t>Reese Duarte</t>
        </is>
      </c>
      <c r="D20" t="n">
        <v>3</v>
      </c>
      <c r="E20" t="n">
        <v>3</v>
      </c>
      <c r="F20" t="n">
        <v>3</v>
      </c>
      <c r="G20" t="n">
        <v>2</v>
      </c>
      <c r="J20" t="inlineStr"/>
      <c r="K20" t="n">
        <v>3</v>
      </c>
      <c r="L20" t="n">
        <v>4</v>
      </c>
      <c r="M20" t="n">
        <v>3</v>
      </c>
      <c r="N20" t="n">
        <v>3</v>
      </c>
      <c r="R20" t="n">
        <v>3</v>
      </c>
      <c r="S20" t="n">
        <v>2</v>
      </c>
      <c r="T20" t="n">
        <v>4</v>
      </c>
      <c r="U20" t="n">
        <v>4</v>
      </c>
      <c r="AB20" t="inlineStr"/>
    </row>
    <row r="21">
      <c r="A21" t="inlineStr">
        <is>
          <t>USA</t>
        </is>
      </c>
      <c r="B21" t="inlineStr">
        <is>
          <t>Mx.</t>
        </is>
      </c>
      <c r="C21" t="inlineStr">
        <is>
          <t>Skyler Moon</t>
        </is>
      </c>
      <c r="D21" t="n">
        <v>4</v>
      </c>
      <c r="E21" t="n">
        <v>4</v>
      </c>
      <c r="F21" t="n">
        <v>2</v>
      </c>
      <c r="G21" t="n">
        <v>4</v>
      </c>
      <c r="J21" t="inlineStr"/>
      <c r="K21" t="n">
        <v>4</v>
      </c>
      <c r="L21" t="n">
        <v>2</v>
      </c>
      <c r="M21" t="n">
        <v>3</v>
      </c>
      <c r="N21" t="n">
        <v>2</v>
      </c>
      <c r="R21" t="n">
        <v>3</v>
      </c>
      <c r="S21" t="n">
        <v>4</v>
      </c>
      <c r="T21" t="n">
        <v>3</v>
      </c>
      <c r="U21" t="n">
        <v>2</v>
      </c>
      <c r="AB21" t="inlineStr"/>
    </row>
    <row r="22">
      <c r="A22" t="inlineStr">
        <is>
          <t>CAN</t>
        </is>
      </c>
      <c r="B22" t="inlineStr">
        <is>
          <t>Mx.</t>
        </is>
      </c>
      <c r="C22" t="inlineStr">
        <is>
          <t>Parker Lowe</t>
        </is>
      </c>
      <c r="D22" t="n">
        <v>2</v>
      </c>
      <c r="E22" t="n">
        <v>2</v>
      </c>
      <c r="F22" t="n">
        <v>2</v>
      </c>
      <c r="G22" t="n">
        <v>3</v>
      </c>
      <c r="J22" t="inlineStr"/>
      <c r="K22" t="n">
        <v>2</v>
      </c>
      <c r="L22" t="n">
        <v>3</v>
      </c>
      <c r="M22" t="n">
        <v>2</v>
      </c>
      <c r="N22" t="n">
        <v>2</v>
      </c>
      <c r="R22" t="n">
        <v>3</v>
      </c>
      <c r="S22" t="n">
        <v>4</v>
      </c>
      <c r="T22" t="n">
        <v>3</v>
      </c>
      <c r="U22" t="n">
        <v>3</v>
      </c>
      <c r="AB22" t="inlineStr"/>
    </row>
    <row r="23">
      <c r="A23" t="inlineStr">
        <is>
          <t>USA</t>
        </is>
      </c>
      <c r="B23" t="inlineStr">
        <is>
          <t>Mx.</t>
        </is>
      </c>
      <c r="C23" t="inlineStr">
        <is>
          <t>Jamie Fox</t>
        </is>
      </c>
      <c r="D23" t="n">
        <v>3</v>
      </c>
      <c r="E23" t="n">
        <v>4</v>
      </c>
      <c r="F23" t="n">
        <v>2</v>
      </c>
      <c r="G23" t="n">
        <v>2</v>
      </c>
      <c r="J23" t="inlineStr"/>
      <c r="K23" t="n">
        <v>4</v>
      </c>
      <c r="L23" t="n">
        <v>4</v>
      </c>
      <c r="M23" t="n">
        <v>4</v>
      </c>
      <c r="N23" t="n">
        <v>4</v>
      </c>
      <c r="R23" t="n">
        <v>3</v>
      </c>
      <c r="S23" t="n">
        <v>2</v>
      </c>
      <c r="T23" t="n">
        <v>3</v>
      </c>
      <c r="U23" t="n">
        <v>2</v>
      </c>
      <c r="AB23" t="inlineStr"/>
    </row>
    <row r="24">
      <c r="A24" t="inlineStr">
        <is>
          <t>ARG</t>
        </is>
      </c>
      <c r="B24" t="inlineStr">
        <is>
          <t>Mx.</t>
        </is>
      </c>
      <c r="C24" t="inlineStr">
        <is>
          <t>Alex Rivera</t>
        </is>
      </c>
      <c r="D24" t="n">
        <v>4</v>
      </c>
      <c r="E24" t="n">
        <v>4</v>
      </c>
      <c r="F24" t="n">
        <v>4</v>
      </c>
      <c r="G24" t="n">
        <v>4</v>
      </c>
      <c r="J24" t="inlineStr">
        <is>
          <t>Strong communicator</t>
        </is>
      </c>
      <c r="K24" t="n">
        <v>3</v>
      </c>
      <c r="L24" t="n">
        <v>4</v>
      </c>
      <c r="M24" t="n">
        <v>4</v>
      </c>
      <c r="N24" t="n">
        <v>4</v>
      </c>
      <c r="AB24" t="inlineStr">
        <is>
          <t>A. Buddy</t>
        </is>
      </c>
    </row>
  </sheetData>
  <autoFilter ref="A9:AC9">
    <sortState ref="A10:AC19">
      <sortCondition descending="1" ref="Z9"/>
    </sortState>
  </autoFilter>
  <mergeCells count="1">
    <mergeCell ref="A1:A6"/>
  </mergeCells>
  <pageMargins left="0.7" right="0.7" top="0.75" bottom="0.75" header="0.3" footer="0.3"/>
  <pageSetup orientation="portrait" paperSize="9"/>
  <headerFooter>
    <oddHeader/>
    <oddFooter>&amp;R&amp;"Aptos"&amp;8 &amp;K000000_x000d_# Cisco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Silvia Terruzzi (sterruzz)</dc:creator>
  <dcterms:created xsi:type="dcterms:W3CDTF">2026-10-05T21:00:34Z</dcterms:created>
  <dcterms:modified xsi:type="dcterms:W3CDTF">2026-10-19T13:41:09Z</dcterms:modified>
  <cp:lastModifiedBy>Kenneth Onyebinachi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0x0101005FECCBB259250C41BEB76B6DA5A24AC4</vt:lpwstr>
  </property>
  <property name="_dlc_DocIdItemGuid" fmtid="{D5CDD505-2E9C-101B-9397-08002B2CF9AE}" pid="3">
    <vt:lpwstr>51829590-7fe4-49e3-91cc-042cf03c5777</vt:lpwstr>
  </property>
  <property name="MediaServiceImageTags" fmtid="{D5CDD505-2E9C-101B-9397-08002B2CF9AE}" pid="4">
    <vt:lpwstr/>
  </property>
</Properties>
</file>